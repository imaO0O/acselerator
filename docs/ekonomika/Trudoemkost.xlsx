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удоёмкость" sheetId="1" state="visible" r:id="rId1"/>
    <sheet xmlns:r="http://schemas.openxmlformats.org/officeDocument/2006/relationships" name="На клиента" sheetId="2" state="visible" r:id="rId2"/>
    <sheet xmlns:r="http://schemas.openxmlformats.org/officeDocument/2006/relationships" name="Учёт час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4B3A75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E9E4F3"/>
      </patternFill>
    </fill>
    <fill>
      <patternFill patternType="solid">
        <fgColor rgb="00F4F1FA"/>
      </patternFill>
    </fill>
  </fills>
  <borders count="2">
    <border>
      <left/>
      <right/>
      <top/>
      <bottom/>
      <diagonal/>
    </border>
    <border>
      <left style="thin">
        <color rgb="00D0C8E0"/>
      </left>
      <right style="thin">
        <color rgb="00D0C8E0"/>
      </right>
      <top style="thin">
        <color rgb="00D0C8E0"/>
      </top>
      <bottom style="thin">
        <color rgb="00D0C8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" fontId="2" fillId="4" borderId="1" applyAlignment="1" pivotButton="0" quotePrefix="0" xfId="0">
      <alignment vertical="top" wrapText="1"/>
    </xf>
    <xf numFmtId="3" fontId="2" fillId="4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0" customWidth="1" min="3" max="3"/>
    <col width="8" customWidth="1" min="4" max="4"/>
    <col width="14" customWidth="1" min="5" max="5"/>
    <col width="12" customWidth="1" min="6" max="6"/>
    <col width="15" customWidth="1" min="7" max="7"/>
    <col width="16" customWidth="1" min="8" max="8"/>
    <col width="8" customWidth="1" min="9" max="9"/>
    <col width="9" customWidth="1" min="10" max="10"/>
    <col width="15" customWidth="1" min="11" max="11"/>
    <col width="44" customWidth="1" min="12" max="12"/>
  </cols>
  <sheetData>
    <row r="1">
      <c r="A1" s="1" t="inlineStr">
        <is>
          <t>Сроки и трудоёмкость проекта — для расчёта себестоимости</t>
        </is>
      </c>
    </row>
    <row r="3">
      <c r="A3" s="2" t="inlineStr">
        <is>
          <t>Ставка, ₽ за чел.-день с взносами</t>
        </is>
      </c>
      <c r="B3" s="3" t="n">
        <v>3800</v>
      </c>
      <c r="C3" t="inlineStr">
        <is>
          <t>60 тыс. ₽ × 1,3 / 20,6 рабочего дня (концепция, 6.2)</t>
        </is>
      </c>
    </row>
    <row r="4">
      <c r="A4" s="2" t="inlineStr">
        <is>
          <t>Часов в чел.-дне</t>
        </is>
      </c>
      <c r="B4" s="3" t="n">
        <v>8</v>
      </c>
      <c r="C4" t="inlineStr"/>
    </row>
    <row r="5">
      <c r="A5" s="2" t="inlineStr">
        <is>
          <t>Ёмкость технической части, чел.-дней в неделю</t>
        </is>
      </c>
      <c r="B5" s="3" t="n">
        <v>5</v>
      </c>
      <c r="C5" t="inlineStr">
        <is>
          <t>при учёбе: 20 + 10 + 10 ч в неделю</t>
        </is>
      </c>
    </row>
    <row r="6">
      <c r="A6" s="2" t="inlineStr">
        <is>
          <t>Коэффициент запаса (≈ 90 %)</t>
        </is>
      </c>
      <c r="B6" s="3" t="n">
        <v>1.28</v>
      </c>
      <c r="C6" t="inlineStr">
        <is>
          <t>ожидаемая + коэффициент × σ</t>
        </is>
      </c>
    </row>
    <row r="7">
      <c r="A7" s="2" t="inlineStr">
        <is>
          <t>Сводка</t>
        </is>
      </c>
    </row>
    <row r="8">
      <c r="A8" s="4" t="inlineStr">
        <is>
          <t>Этап</t>
        </is>
      </c>
      <c r="B8" s="4" t="inlineStr">
        <is>
          <t>Ожидаемо, чел.-дн.</t>
        </is>
      </c>
      <c r="C8" s="4" t="inlineStr">
        <is>
          <t>С запасом, чел.-дн.</t>
        </is>
      </c>
      <c r="D8" s="4" t="inlineStr">
        <is>
          <t>Часы</t>
        </is>
      </c>
      <c r="E8" s="4" t="inlineStr">
        <is>
          <t>Стоимость, ₽</t>
        </is>
      </c>
      <c r="F8" s="4" t="inlineStr">
        <is>
          <t>Стоимость с запасом, ₽</t>
        </is>
      </c>
      <c r="G8" s="4" t="inlineStr">
        <is>
          <t>Недель работы команды</t>
        </is>
      </c>
    </row>
    <row r="9">
      <c r="A9" s="5" t="inlineStr">
        <is>
          <t>Этап 0. Прототип, TRL 4 — сделан</t>
        </is>
      </c>
      <c r="B9" s="6">
        <f>H37</f>
        <v/>
      </c>
      <c r="C9" s="6">
        <f>H37+$B$6*I37</f>
        <v/>
      </c>
      <c r="D9" s="7">
        <f>B9*$B$4</f>
        <v/>
      </c>
      <c r="E9" s="8">
        <f>B9*$B$3</f>
        <v/>
      </c>
      <c r="F9" s="8">
        <f>C9*$B$3</f>
        <v/>
      </c>
      <c r="G9" s="6">
        <f>B9/$B$5</f>
        <v/>
      </c>
    </row>
    <row r="10">
      <c r="A10" s="5" t="inlineStr">
        <is>
          <t>Этап 1. Пилотная версия и пилот у партнёра, TRL 5–6</t>
        </is>
      </c>
      <c r="B10" s="6">
        <f>H50</f>
        <v/>
      </c>
      <c r="C10" s="6">
        <f>H50+$B$6*I50</f>
        <v/>
      </c>
      <c r="D10" s="7">
        <f>B10*$B$4</f>
        <v/>
      </c>
      <c r="E10" s="8">
        <f>B10*$B$3</f>
        <v/>
      </c>
      <c r="F10" s="8">
        <f>C10*$B$3</f>
        <v/>
      </c>
      <c r="G10" s="6">
        <f>B10/$B$5</f>
        <v/>
      </c>
    </row>
    <row r="11">
      <c r="A11" s="5" t="inlineStr">
        <is>
          <t>Этап 2. Коммерческая версия 1.0 — можно продавать, TRL 7</t>
        </is>
      </c>
      <c r="B11" s="6">
        <f>H62</f>
        <v/>
      </c>
      <c r="C11" s="6">
        <f>H62+$B$6*I62</f>
        <v/>
      </c>
      <c r="D11" s="7">
        <f>B11*$B$4</f>
        <v/>
      </c>
      <c r="E11" s="8">
        <f>B11*$B$3</f>
        <v/>
      </c>
      <c r="F11" s="8">
        <f>C11*$B$3</f>
        <v/>
      </c>
      <c r="G11" s="6">
        <f>B11/$B$5</f>
        <v/>
      </c>
    </row>
    <row r="12">
      <c r="A12" s="5" t="inlineStr">
        <is>
          <t>Этап 3. Развитие по спросу — 2027–2028</t>
        </is>
      </c>
      <c r="B12" s="6">
        <f>H73</f>
        <v/>
      </c>
      <c r="C12" s="6">
        <f>H73+$B$6*I73</f>
        <v/>
      </c>
      <c r="D12" s="7">
        <f>B12*$B$4</f>
        <v/>
      </c>
      <c r="E12" s="8">
        <f>B12*$B$3</f>
        <v/>
      </c>
      <c r="F12" s="8">
        <f>C12*$B$3</f>
        <v/>
      </c>
      <c r="G12" s="6">
        <f>B12/$B$5</f>
        <v/>
      </c>
    </row>
    <row r="13">
      <c r="A13" s="9" t="inlineStr">
        <is>
          <t>Весь путь до продаваемой версии (этапы 0–2)</t>
        </is>
      </c>
      <c r="B13" s="10">
        <f>H37+H50+H62</f>
        <v/>
      </c>
      <c r="C13" s="10">
        <f>H37+H50+H62+$B$6*(I37+I50+I62)</f>
        <v/>
      </c>
      <c r="D13" s="11">
        <f>B13*$B$4</f>
        <v/>
      </c>
      <c r="E13" s="12">
        <f>B13*$B$3</f>
        <v/>
      </c>
      <c r="F13" s="12">
        <f>C13*$B$3</f>
        <v/>
      </c>
      <c r="G13" s="10">
        <f>B13/$B$5</f>
        <v/>
      </c>
    </row>
    <row r="14">
      <c r="A14" s="9" t="inlineStr">
        <is>
          <t>Впереди (этапы 1–2)</t>
        </is>
      </c>
      <c r="B14" s="10">
        <f>H50+H62</f>
        <v/>
      </c>
      <c r="C14" s="10">
        <f>H50+H62+$B$6*(I50+I62)</f>
        <v/>
      </c>
      <c r="D14" s="11">
        <f>B14*$B$4</f>
        <v/>
      </c>
      <c r="E14" s="12">
        <f>B14*$B$3</f>
        <v/>
      </c>
      <c r="F14" s="12">
        <f>C14*$B$3</f>
        <v/>
      </c>
      <c r="G14" s="10">
        <f>B14/$B$5</f>
        <v/>
      </c>
    </row>
    <row r="18">
      <c r="A18" s="4" t="inlineStr">
        <is>
          <t>Этап</t>
        </is>
      </c>
      <c r="B18" s="4" t="inlineStr">
        <is>
          <t>№</t>
        </is>
      </c>
      <c r="C18" s="4" t="inlineStr">
        <is>
          <t>Работа</t>
        </is>
      </c>
      <c r="D18" s="4" t="inlineStr">
        <is>
          <t>Кто</t>
        </is>
      </c>
      <c r="E18" s="4" t="inlineStr">
        <is>
          <t>Оптимистично</t>
        </is>
      </c>
      <c r="F18" s="4" t="inlineStr">
        <is>
          <t>Вероятно</t>
        </is>
      </c>
      <c r="G18" s="4" t="inlineStr">
        <is>
          <t>Пессимистично</t>
        </is>
      </c>
      <c r="H18" s="4" t="inlineStr">
        <is>
          <t>Ожидаемо (PERT)</t>
        </is>
      </c>
      <c r="I18" s="4" t="inlineStr">
        <is>
          <t>σ</t>
        </is>
      </c>
      <c r="J18" s="4" t="inlineStr">
        <is>
          <t>Часы</t>
        </is>
      </c>
      <c r="K18" s="4" t="inlineStr">
        <is>
          <t>Стоимость, ₽</t>
        </is>
      </c>
      <c r="L18" s="4" t="inlineStr">
        <is>
          <t>Основание</t>
        </is>
      </c>
    </row>
    <row r="19">
      <c r="A19" s="9" t="inlineStr">
        <is>
          <t>Этап 0. Прототип, TRL 4 — сделан</t>
        </is>
      </c>
      <c r="B19" s="9" t="n"/>
      <c r="C19" s="9" t="inlineStr">
        <is>
          <t>календарь — 03–14.10.2026 (история репозитория). Нормативная трудоёмкость: сколько стоит сделать уже сделанный объём при обычной производительности. Её и берут в себестоимость (затратный подход), а не число календарных дней.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5" t="inlineStr">
        <is>
          <t>0</t>
        </is>
      </c>
      <c r="B20" s="5" t="inlineStr">
        <is>
          <t>0.1</t>
        </is>
      </c>
      <c r="C20" s="5" t="inlineStr">
        <is>
          <t>Исследование и архитектура: выбор моделей (GigaChat 3.1 Lightning, bge-m3, bge-reranker-v2-m3), llama.cpp, замеры скорости в режимах ПК, ноутбук 4 ГБ, без видеокарты</t>
        </is>
      </c>
      <c r="D20" s="5" t="inlineStr">
        <is>
          <t>Р</t>
        </is>
      </c>
      <c r="E20" s="5" t="n">
        <v>4</v>
      </c>
      <c r="F20" s="5" t="n">
        <v>6</v>
      </c>
      <c r="G20" s="5" t="n">
        <v>10</v>
      </c>
      <c r="H20" s="6">
        <f>(E20+4*F20+G20)/6</f>
        <v/>
      </c>
      <c r="I20" s="13">
        <f>(G20-E20)/6</f>
        <v/>
      </c>
      <c r="J20" s="7">
        <f>H20*$B$4</f>
        <v/>
      </c>
      <c r="K20" s="8">
        <f>H20*$B$3</f>
        <v/>
      </c>
      <c r="L20" s="5" t="inlineStr">
        <is>
          <t>scripts/bench_speed.py, profile_answer.py, docs/noutbuk.md</t>
        </is>
      </c>
    </row>
    <row r="21">
      <c r="A21" s="5" t="inlineStr">
        <is>
          <t>0</t>
        </is>
      </c>
      <c r="B21" s="5" t="inlineStr">
        <is>
          <t>0.2</t>
        </is>
      </c>
      <c r="C21" s="5" t="inlineStr">
        <is>
          <t>Корпус для проверки: 15 открытых документов (≈ 700 стр.), 4 демо-регламента и отменённая редакция, демо-база учёта, справочник параметров (28 моделей, 114 значений с цитатами)</t>
        </is>
      </c>
      <c r="D21" s="5" t="inlineStr">
        <is>
          <t>Р, Т</t>
        </is>
      </c>
      <c r="E21" s="5" t="n">
        <v>6</v>
      </c>
      <c r="F21" s="5" t="n">
        <v>9</v>
      </c>
      <c r="G21" s="5" t="n">
        <v>14</v>
      </c>
      <c r="H21" s="6">
        <f>(E21+4*F21+G21)/6</f>
        <v/>
      </c>
      <c r="I21" s="13">
        <f>(G21-E21)/6</f>
        <v/>
      </c>
      <c r="J21" s="7">
        <f>H21*$B$4</f>
        <v/>
      </c>
      <c r="K21" s="8">
        <f>H21*$B$3</f>
        <v/>
      </c>
      <c r="L21" s="5" t="inlineStr">
        <is>
          <t>data/</t>
        </is>
      </c>
    </row>
    <row r="22">
      <c r="A22" s="5" t="inlineStr">
        <is>
          <t>0</t>
        </is>
      </c>
      <c r="B22" s="5" t="inlineStr">
        <is>
          <t>0.3</t>
        </is>
      </c>
      <c r="C22" s="5" t="inlineStr">
        <is>
          <t>Разбор документов на пункты: PDF, DOCX, сканы с распознаванием, Excel, изображения; номера пунктов и страниц у каждого фрагмента</t>
        </is>
      </c>
      <c r="D22" s="5" t="inlineStr">
        <is>
          <t>Р</t>
        </is>
      </c>
      <c r="E22" s="5" t="n">
        <v>6</v>
      </c>
      <c r="F22" s="5" t="n">
        <v>9</v>
      </c>
      <c r="G22" s="5" t="n">
        <v>14</v>
      </c>
      <c r="H22" s="6">
        <f>(E22+4*F22+G22)/6</f>
        <v/>
      </c>
      <c r="I22" s="13">
        <f>(G22-E22)/6</f>
        <v/>
      </c>
      <c r="J22" s="7">
        <f>H22*$B$4</f>
        <v/>
      </c>
      <c r="K22" s="8">
        <f>H22*$B$3</f>
        <v/>
      </c>
      <c r="L22" s="5" t="inlineStr">
        <is>
          <t>kbagent/ingest.py</t>
        </is>
      </c>
    </row>
    <row r="23">
      <c r="A23" s="5" t="inlineStr">
        <is>
          <t>0</t>
        </is>
      </c>
      <c r="B23" s="5" t="inlineStr">
        <is>
          <t>0.4</t>
        </is>
      </c>
      <c r="C23" s="5" t="inlineStr">
        <is>
          <t>Индекс и гибридный поиск: BM25 + векторы, переранжирование, соседние пункты; проверка на 100 тыс. фрагментов</t>
        </is>
      </c>
      <c r="D23" s="5" t="inlineStr">
        <is>
          <t>Р</t>
        </is>
      </c>
      <c r="E23" s="5" t="n">
        <v>3</v>
      </c>
      <c r="F23" s="5" t="n">
        <v>5</v>
      </c>
      <c r="G23" s="5" t="n">
        <v>8</v>
      </c>
      <c r="H23" s="6">
        <f>(E23+4*F23+G23)/6</f>
        <v/>
      </c>
      <c r="I23" s="13">
        <f>(G23-E23)/6</f>
        <v/>
      </c>
      <c r="J23" s="7">
        <f>H23*$B$4</f>
        <v/>
      </c>
      <c r="K23" s="8">
        <f>H23*$B$3</f>
        <v/>
      </c>
      <c r="L23" s="5" t="inlineStr">
        <is>
          <t>kbagent/store.py, retriever.py, scripts/bench_scale.py</t>
        </is>
      </c>
    </row>
    <row r="24">
      <c r="A24" s="5" t="inlineStr">
        <is>
          <t>0</t>
        </is>
      </c>
      <c r="B24" s="5" t="inlineStr">
        <is>
          <t>0.5</t>
        </is>
      </c>
      <c r="C24" s="5" t="inlineStr">
        <is>
          <t>Ответ по фрагментам с программными проверками: ссылки, предмет, «другой случай», запреты, числа, честный отказ</t>
        </is>
      </c>
      <c r="D24" s="5" t="inlineStr">
        <is>
          <t>Р</t>
        </is>
      </c>
      <c r="E24" s="5" t="n">
        <v>10</v>
      </c>
      <c r="F24" s="5" t="n">
        <v>15</v>
      </c>
      <c r="G24" s="5" t="n">
        <v>25</v>
      </c>
      <c r="H24" s="6">
        <f>(E24+4*F24+G24)/6</f>
        <v/>
      </c>
      <c r="I24" s="13">
        <f>(G24-E24)/6</f>
        <v/>
      </c>
      <c r="J24" s="7">
        <f>H24*$B$4</f>
        <v/>
      </c>
      <c r="K24" s="8">
        <f>H24*$B$3</f>
        <v/>
      </c>
      <c r="L24" s="5" t="inlineStr">
        <is>
          <t>kbagent/answer.py; этапы 2–7 в docs/dorabotki.md</t>
        </is>
      </c>
    </row>
    <row r="25">
      <c r="A25" s="5" t="inlineStr">
        <is>
          <t>0</t>
        </is>
      </c>
      <c r="B25" s="5" t="inlineStr">
        <is>
          <t>0.6</t>
        </is>
      </c>
      <c r="C25" s="5" t="inlineStr">
        <is>
          <t>Агент: диалог и уточнения, выбор источника, составные вопросы, встречный вопрос, справки, защита от подмены инструкций</t>
        </is>
      </c>
      <c r="D25" s="5" t="inlineStr">
        <is>
          <t>Р</t>
        </is>
      </c>
      <c r="E25" s="5" t="n">
        <v>10</v>
      </c>
      <c r="F25" s="5" t="n">
        <v>14</v>
      </c>
      <c r="G25" s="5" t="n">
        <v>22</v>
      </c>
      <c r="H25" s="6">
        <f>(E25+4*F25+G25)/6</f>
        <v/>
      </c>
      <c r="I25" s="13">
        <f>(G25-E25)/6</f>
        <v/>
      </c>
      <c r="J25" s="7">
        <f>H25*$B$4</f>
        <v/>
      </c>
      <c r="K25" s="8">
        <f>H25*$B$3</f>
        <v/>
      </c>
      <c r="L25" s="5" t="inlineStr">
        <is>
          <t>kbagent/agent.py</t>
        </is>
      </c>
    </row>
    <row r="26">
      <c r="A26" s="5" t="inlineStr">
        <is>
          <t>0</t>
        </is>
      </c>
      <c r="B26" s="5" t="inlineStr">
        <is>
          <t>0.7</t>
        </is>
      </c>
      <c r="C26" s="5" t="inlineStr">
        <is>
          <t>Учётная база: вопрос → SQL только на чтение, слой понятных названий, записи по номеру, нечёткий поиск, «запись + правило»</t>
        </is>
      </c>
      <c r="D26" s="5" t="inlineStr">
        <is>
          <t>Р</t>
        </is>
      </c>
      <c r="E26" s="5" t="n">
        <v>7</v>
      </c>
      <c r="F26" s="5" t="n">
        <v>10</v>
      </c>
      <c r="G26" s="5" t="n">
        <v>15</v>
      </c>
      <c r="H26" s="6">
        <f>(E26+4*F26+G26)/6</f>
        <v/>
      </c>
      <c r="I26" s="13">
        <f>(G26-E26)/6</f>
        <v/>
      </c>
      <c r="J26" s="7">
        <f>H26*$B$4</f>
        <v/>
      </c>
      <c r="K26" s="8">
        <f>H26*$B$3</f>
        <v/>
      </c>
      <c r="L26" s="5" t="inlineStr">
        <is>
          <t>kbagent/database.py, demo_db.py, data/demo_db/schema.yaml</t>
        </is>
      </c>
    </row>
    <row r="27">
      <c r="A27" s="5" t="inlineStr">
        <is>
          <t>0</t>
        </is>
      </c>
      <c r="B27" s="5" t="inlineStr">
        <is>
          <t>0.8</t>
        </is>
      </c>
      <c r="C27" s="5" t="inlineStr">
        <is>
          <t>Справочник параметров: подбор и проверка требований программой, сравнение моделей, расчёты по правилам, противоречия → эксперт, импорт с контролем качества</t>
        </is>
      </c>
      <c r="D27" s="5" t="inlineStr">
        <is>
          <t>Р</t>
        </is>
      </c>
      <c r="E27" s="5" t="n">
        <v>6</v>
      </c>
      <c r="F27" s="5" t="n">
        <v>9</v>
      </c>
      <c r="G27" s="5" t="n">
        <v>14</v>
      </c>
      <c r="H27" s="6">
        <f>(E27+4*F27+G27)/6</f>
        <v/>
      </c>
      <c r="I27" s="13">
        <f>(G27-E27)/6</f>
        <v/>
      </c>
      <c r="J27" s="7">
        <f>H27*$B$4</f>
        <v/>
      </c>
      <c r="K27" s="8">
        <f>H27*$B$3</f>
        <v/>
      </c>
      <c r="L27" s="5" t="inlineStr">
        <is>
          <t>kbagent/spravochnik.py, raschety.py</t>
        </is>
      </c>
    </row>
    <row r="28">
      <c r="A28" s="5" t="inlineStr">
        <is>
          <t>0</t>
        </is>
      </c>
      <c r="B28" s="5" t="inlineStr">
        <is>
          <t>0.9</t>
        </is>
      </c>
      <c r="C28" s="5" t="inlineStr">
        <is>
          <t>Письмо клиента → черновик ТКП в Word, вкладка «Эффект», решения эксперта</t>
        </is>
      </c>
      <c r="D28" s="5" t="inlineStr">
        <is>
          <t>Р</t>
        </is>
      </c>
      <c r="E28" s="5" t="n">
        <v>6</v>
      </c>
      <c r="F28" s="5" t="n">
        <v>9</v>
      </c>
      <c r="G28" s="5" t="n">
        <v>14</v>
      </c>
      <c r="H28" s="6">
        <f>(E28+4*F28+G28)/6</f>
        <v/>
      </c>
      <c r="I28" s="13">
        <f>(G28-E28)/6</f>
        <v/>
      </c>
      <c r="J28" s="7">
        <f>H28*$B$4</f>
        <v/>
      </c>
      <c r="K28" s="8">
        <f>H28*$B$3</f>
        <v/>
      </c>
      <c r="L28" s="5" t="inlineStr">
        <is>
          <t>kbagent/tkp.py, effect.py, experts.py</t>
        </is>
      </c>
    </row>
    <row r="29">
      <c r="A29" s="5" t="inlineStr">
        <is>
          <t>0</t>
        </is>
      </c>
      <c r="B29" s="5" t="inlineStr">
        <is>
          <t>0.10</t>
        </is>
      </c>
      <c r="C29" s="5" t="inlineStr">
        <is>
          <t>Работа с документами: редакции и «что изменилось», нормоконтроль по ГОСТ Р 7.0.97, пробелы в документации, карточки документов, ответ в Word, страница PDF с выделенным фрагментом</t>
        </is>
      </c>
      <c r="D29" s="5" t="inlineStr">
        <is>
          <t>Р</t>
        </is>
      </c>
      <c r="E29" s="5" t="n">
        <v>10</v>
      </c>
      <c r="F29" s="5" t="n">
        <v>14</v>
      </c>
      <c r="G29" s="5" t="n">
        <v>20</v>
      </c>
      <c r="H29" s="6">
        <f>(E29+4*F29+G29)/6</f>
        <v/>
      </c>
      <c r="I29" s="13">
        <f>(G29-E29)/6</f>
        <v/>
      </c>
      <c r="J29" s="7">
        <f>H29*$B$4</f>
        <v/>
      </c>
      <c r="K29" s="8">
        <f>H29*$B$3</f>
        <v/>
      </c>
      <c r="L29" s="5" t="inlineStr">
        <is>
          <t>kbagent/editions.py, normocontrol.py, gaps.py, cards.py, export.py, preview.py, uploads.py</t>
        </is>
      </c>
    </row>
    <row r="30">
      <c r="A30" s="5" t="inlineStr">
        <is>
          <t>0</t>
        </is>
      </c>
      <c r="B30" s="5" t="inlineStr">
        <is>
          <t>0.11</t>
        </is>
      </c>
      <c r="C30" s="5" t="inlineStr">
        <is>
          <t>Безопасность: вход и роли, блокировка подбора пароля, журнал действий, маскирование персональных данных, ключи API</t>
        </is>
      </c>
      <c r="D30" s="5" t="inlineStr">
        <is>
          <t>Р</t>
        </is>
      </c>
      <c r="E30" s="5" t="n">
        <v>5</v>
      </c>
      <c r="F30" s="5" t="n">
        <v>8</v>
      </c>
      <c r="G30" s="5" t="n">
        <v>12</v>
      </c>
      <c r="H30" s="6">
        <f>(E30+4*F30+G30)/6</f>
        <v/>
      </c>
      <c r="I30" s="13">
        <f>(G30-E30)/6</f>
        <v/>
      </c>
      <c r="J30" s="7">
        <f>H30*$B$4</f>
        <v/>
      </c>
      <c r="K30" s="8">
        <f>H30*$B$3</f>
        <v/>
      </c>
      <c r="L30" s="5" t="inlineStr">
        <is>
          <t>kbagent/auth.py, privacy.py</t>
        </is>
      </c>
    </row>
    <row r="31">
      <c r="A31" s="5" t="inlineStr">
        <is>
          <t>0</t>
        </is>
      </c>
      <c r="B31" s="5" t="inlineStr">
        <is>
          <t>0.12</t>
        </is>
      </c>
      <c r="C31" s="5" t="inlineStr">
        <is>
          <t>Интерфейс: чат и страница администрирования (журнал, оценки, документы, качество, безопасность, справочник, эксперты)</t>
        </is>
      </c>
      <c r="D31" s="5" t="inlineStr">
        <is>
          <t>Р</t>
        </is>
      </c>
      <c r="E31" s="5" t="n">
        <v>8</v>
      </c>
      <c r="F31" s="5" t="n">
        <v>12</v>
      </c>
      <c r="G31" s="5" t="n">
        <v>18</v>
      </c>
      <c r="H31" s="6">
        <f>(E31+4*F31+G31)/6</f>
        <v/>
      </c>
      <c r="I31" s="13">
        <f>(G31-E31)/6</f>
        <v/>
      </c>
      <c r="J31" s="7">
        <f>H31*$B$4</f>
        <v/>
      </c>
      <c r="K31" s="8">
        <f>H31*$B$3</f>
        <v/>
      </c>
      <c r="L31" s="5" t="inlineStr">
        <is>
          <t>app/</t>
        </is>
      </c>
    </row>
    <row r="32">
      <c r="A32" s="5" t="inlineStr">
        <is>
          <t>0</t>
        </is>
      </c>
      <c r="B32" s="5" t="inlineStr">
        <is>
          <t>0.13</t>
        </is>
      </c>
      <c r="C32" s="5" t="inlineStr">
        <is>
          <t>REST API для интеграций</t>
        </is>
      </c>
      <c r="D32" s="5" t="inlineStr">
        <is>
          <t>Р</t>
        </is>
      </c>
      <c r="E32" s="5" t="n">
        <v>2</v>
      </c>
      <c r="F32" s="5" t="n">
        <v>3</v>
      </c>
      <c r="G32" s="5" t="n">
        <v>5</v>
      </c>
      <c r="H32" s="6">
        <f>(E32+4*F32+G32)/6</f>
        <v/>
      </c>
      <c r="I32" s="13">
        <f>(G32-E32)/6</f>
        <v/>
      </c>
      <c r="J32" s="7">
        <f>H32*$B$4</f>
        <v/>
      </c>
      <c r="K32" s="8">
        <f>H32*$B$3</f>
        <v/>
      </c>
      <c r="L32" s="5" t="inlineStr">
        <is>
          <t>api/server.py</t>
        </is>
      </c>
    </row>
    <row r="33">
      <c r="A33" s="5" t="inlineStr">
        <is>
          <t>0</t>
        </is>
      </c>
      <c r="B33" s="5" t="inlineStr">
        <is>
          <t>0.14</t>
        </is>
      </c>
      <c r="C33" s="5" t="inlineStr">
        <is>
          <t>Поставка для закрытого контура: установка без интернета, контрольные суммы, скрипты запуска в трёх режимах</t>
        </is>
      </c>
      <c r="D33" s="5" t="inlineStr">
        <is>
          <t>Р</t>
        </is>
      </c>
      <c r="E33" s="5" t="n">
        <v>4</v>
      </c>
      <c r="F33" s="5" t="n">
        <v>6</v>
      </c>
      <c r="G33" s="5" t="n">
        <v>10</v>
      </c>
      <c r="H33" s="6">
        <f>(E33+4*F33+G33)/6</f>
        <v/>
      </c>
      <c r="I33" s="13">
        <f>(G33-E33)/6</f>
        <v/>
      </c>
      <c r="J33" s="7">
        <f>H33*$B$4</f>
        <v/>
      </c>
      <c r="K33" s="8">
        <f>H33*$B$3</f>
        <v/>
      </c>
      <c r="L33" s="5" t="inlineStr">
        <is>
          <t>scripts/make_bundle.py, setup.py, start_servers.ps1</t>
        </is>
      </c>
    </row>
    <row r="34">
      <c r="A34" s="5" t="inlineStr">
        <is>
          <t>0</t>
        </is>
      </c>
      <c r="B34" s="5" t="inlineStr">
        <is>
          <t>0.15</t>
        </is>
      </c>
      <c r="C34" s="5" t="inlineStr">
        <is>
          <t>Проверка качества: эталон из 85 вопросов и 6 дополнительных наборов, скрипт оценки, автотесты, прогоны на ПК и ноутбуке, нагрузка</t>
        </is>
      </c>
      <c r="D34" s="5" t="inlineStr">
        <is>
          <t>Р, Т</t>
        </is>
      </c>
      <c r="E34" s="5" t="n">
        <v>12</v>
      </c>
      <c r="F34" s="5" t="n">
        <v>18</v>
      </c>
      <c r="G34" s="5" t="n">
        <v>28</v>
      </c>
      <c r="H34" s="6">
        <f>(E34+4*F34+G34)/6</f>
        <v/>
      </c>
      <c r="I34" s="13">
        <f>(G34-E34)/6</f>
        <v/>
      </c>
      <c r="J34" s="7">
        <f>H34*$B$4</f>
        <v/>
      </c>
      <c r="K34" s="8">
        <f>H34*$B$3</f>
        <v/>
      </c>
      <c r="L34" s="5" t="inlineStr">
        <is>
          <t>eval/, tests/</t>
        </is>
      </c>
    </row>
    <row r="35">
      <c r="A35" s="5" t="inlineStr">
        <is>
          <t>0</t>
        </is>
      </c>
      <c r="B35" s="5" t="inlineStr">
        <is>
          <t>0.16</t>
        </is>
      </c>
      <c r="C35" s="5" t="inlineStr">
        <is>
          <t>Тестирование участниками: ноутбук с видеокартой 4 ГБ, установка с нуля, приёмы «сломать агента», маскирование</t>
        </is>
      </c>
      <c r="D35" s="5" t="inlineStr">
        <is>
          <t>Т</t>
        </is>
      </c>
      <c r="E35" s="5" t="n">
        <v>5</v>
      </c>
      <c r="F35" s="5" t="n">
        <v>8</v>
      </c>
      <c r="G35" s="5" t="n">
        <v>12</v>
      </c>
      <c r="H35" s="6">
        <f>(E35+4*F35+G35)/6</f>
        <v/>
      </c>
      <c r="I35" s="13">
        <f>(G35-E35)/6</f>
        <v/>
      </c>
      <c r="J35" s="7">
        <f>H35*$B$4</f>
        <v/>
      </c>
      <c r="K35" s="8">
        <f>H35*$B$3</f>
        <v/>
      </c>
      <c r="L35" s="5" t="inlineStr">
        <is>
          <t>docs/uchastnik2/, docs/uchastnik3/testirovanie.md</t>
        </is>
      </c>
    </row>
    <row r="36">
      <c r="A36" s="5" t="inlineStr">
        <is>
          <t>0</t>
        </is>
      </c>
      <c r="B36" s="5" t="inlineStr">
        <is>
          <t>0.17</t>
        </is>
      </c>
      <c r="C36" s="5" t="inlineStr">
        <is>
          <t>Документация и материалы показа: README, описание для ИТ и ИБ, сценарий показа, скриншоты, схема архитектуры</t>
        </is>
      </c>
      <c r="D36" s="5" t="inlineStr">
        <is>
          <t>Р, М</t>
        </is>
      </c>
      <c r="E36" s="5" t="n">
        <v>4</v>
      </c>
      <c r="F36" s="5" t="n">
        <v>6</v>
      </c>
      <c r="G36" s="5" t="n">
        <v>9</v>
      </c>
      <c r="H36" s="6">
        <f>(E36+4*F36+G36)/6</f>
        <v/>
      </c>
      <c r="I36" s="13">
        <f>(G36-E36)/6</f>
        <v/>
      </c>
      <c r="J36" s="7">
        <f>H36*$B$4</f>
        <v/>
      </c>
      <c r="K36" s="8">
        <f>H36*$B$3</f>
        <v/>
      </c>
      <c r="L36" s="5" t="inlineStr">
        <is>
          <t>README.md, docs/vnedrenie.md, docs/demo_script.md, docs/screens/</t>
        </is>
      </c>
    </row>
    <row r="37">
      <c r="A37" s="14" t="n"/>
      <c r="B37" s="14" t="n"/>
      <c r="C37" s="14" t="inlineStr">
        <is>
          <t>Итого по этапу</t>
        </is>
      </c>
      <c r="D37" s="14" t="n"/>
      <c r="E37" s="14">
        <f>SUM(E20:E36)</f>
        <v/>
      </c>
      <c r="F37" s="14">
        <f>SUM(F20:F36)</f>
        <v/>
      </c>
      <c r="G37" s="14">
        <f>SUM(G20:G36)</f>
        <v/>
      </c>
      <c r="H37" s="15">
        <f>SUM(H20:H36)</f>
        <v/>
      </c>
      <c r="I37" s="16">
        <f>SUM(I20:I36)</f>
        <v/>
      </c>
      <c r="J37" s="17">
        <f>H37*$B$4</f>
        <v/>
      </c>
      <c r="K37" s="18">
        <f>H37*$B$3</f>
        <v/>
      </c>
      <c r="L37" s="14" t="n"/>
    </row>
    <row r="39">
      <c r="A39" s="9" t="inlineStr">
        <is>
          <t>Этап 1. Пилотная версия и пилот у партнёра, TRL 5–6</t>
        </is>
      </c>
      <c r="B39" s="9" t="n"/>
      <c r="C39" s="9" t="inlineStr">
        <is>
          <t>ноябрь 2026 — февраль 2027. Один отдел (техпродажи или сервис), одна группа продукции — как в карточке задачи. Пилот 1–2 месяца с замером «вручную / с агентом».</t>
        </is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5" t="inlineStr">
        <is>
          <t>1</t>
        </is>
      </c>
      <c r="B40" s="5" t="inlineStr">
        <is>
          <t>1.1</t>
        </is>
      </c>
      <c r="C40" s="5" t="inlineStr">
        <is>
          <t>Документы партнёра по одной группе продукции: реестр (версия, срок действия, владелец, права), разбор на пункты, проверка распознавания сканов, словарь терминов</t>
        </is>
      </c>
      <c r="D40" s="5" t="inlineStr">
        <is>
          <t>Р, Т</t>
        </is>
      </c>
      <c r="E40" s="5" t="n">
        <v>3</v>
      </c>
      <c r="F40" s="5" t="n">
        <v>5</v>
      </c>
      <c r="G40" s="5" t="n">
        <v>8</v>
      </c>
      <c r="H40" s="6">
        <f>(E40+4*F40+G40)/6</f>
        <v/>
      </c>
      <c r="I40" s="13">
        <f>(G40-E40)/6</f>
        <v/>
      </c>
      <c r="J40" s="7">
        <f>H40*$B$4</f>
        <v/>
      </c>
      <c r="K40" s="8">
        <f>H40*$B$3</f>
        <v/>
      </c>
      <c r="L40" s="5" t="inlineStr">
        <is>
          <t>карточка задачи, п. 2</t>
        </is>
      </c>
    </row>
    <row r="41">
      <c r="A41" s="5" t="inlineStr">
        <is>
          <t>1</t>
        </is>
      </c>
      <c r="B41" s="5" t="inlineStr">
        <is>
          <t>1.2</t>
        </is>
      </c>
      <c r="C41" s="5" t="inlineStr">
        <is>
          <t>Справочник параметров и прайс по группе продукции: значение, единица, документ, страница, цитата</t>
        </is>
      </c>
      <c r="D41" s="5" t="inlineStr">
        <is>
          <t>Т, Р</t>
        </is>
      </c>
      <c r="E41" s="5" t="n">
        <v>3</v>
      </c>
      <c r="F41" s="5" t="n">
        <v>5</v>
      </c>
      <c r="G41" s="5" t="n">
        <v>10</v>
      </c>
      <c r="H41" s="6">
        <f>(E41+4*F41+G41)/6</f>
        <v/>
      </c>
      <c r="I41" s="13">
        <f>(G41-E41)/6</f>
        <v/>
      </c>
      <c r="J41" s="7">
        <f>H41*$B$4</f>
        <v/>
      </c>
      <c r="K41" s="8">
        <f>H41*$B$3</f>
        <v/>
      </c>
      <c r="L41" s="5" t="inlineStr">
        <is>
          <t>число моделей неизвестно: 3–10 дней на 30–80 моделей</t>
        </is>
      </c>
    </row>
    <row r="42">
      <c r="A42" s="5" t="inlineStr">
        <is>
          <t>1</t>
        </is>
      </c>
      <c r="B42" s="5" t="inlineStr">
        <is>
          <t>1.3</t>
        </is>
      </c>
      <c r="C42" s="5" t="inlineStr">
        <is>
          <t>Настройка под данные партнёра: пороги отказа и проверки предмета, роли и примеры вопросов, исправление ошибок разбора</t>
        </is>
      </c>
      <c r="D42" s="5" t="inlineStr">
        <is>
          <t>Р</t>
        </is>
      </c>
      <c r="E42" s="5" t="n">
        <v>3</v>
      </c>
      <c r="F42" s="5" t="n">
        <v>5</v>
      </c>
      <c r="G42" s="5" t="n">
        <v>8</v>
      </c>
      <c r="H42" s="6">
        <f>(E42+4*F42+G42)/6</f>
        <v/>
      </c>
      <c r="I42" s="13">
        <f>(G42-E42)/6</f>
        <v/>
      </c>
      <c r="J42" s="7">
        <f>H42*$B$4</f>
        <v/>
      </c>
      <c r="K42" s="8">
        <f>H42*$B$3</f>
        <v/>
      </c>
      <c r="L42" s="5" t="inlineStr">
        <is>
          <t>README, «Ограничения и следующие шаги»</t>
        </is>
      </c>
    </row>
    <row r="43">
      <c r="A43" s="5" t="inlineStr">
        <is>
          <t>1</t>
        </is>
      </c>
      <c r="B43" s="5" t="inlineStr">
        <is>
          <t>1.4</t>
        </is>
      </c>
      <c r="C43" s="5" t="inlineStr">
        <is>
          <t>Закрытый приёмочный набор партнёра (30–50 вопросов): прогон, разбор ошибок, исправления</t>
        </is>
      </c>
      <c r="D43" s="5" t="inlineStr">
        <is>
          <t>Т, Р</t>
        </is>
      </c>
      <c r="E43" s="5" t="n">
        <v>3</v>
      </c>
      <c r="F43" s="5" t="n">
        <v>5</v>
      </c>
      <c r="G43" s="5" t="n">
        <v>8</v>
      </c>
      <c r="H43" s="6">
        <f>(E43+4*F43+G43)/6</f>
        <v/>
      </c>
      <c r="I43" s="13">
        <f>(G43-E43)/6</f>
        <v/>
      </c>
      <c r="J43" s="7">
        <f>H43*$B$4</f>
        <v/>
      </c>
      <c r="K43" s="8">
        <f>H43*$B$3</f>
        <v/>
      </c>
      <c r="L43" s="5" t="inlineStr">
        <is>
          <t>карточка задачи, п. 2 и 6</t>
        </is>
      </c>
    </row>
    <row r="44">
      <c r="A44" s="5" t="inlineStr">
        <is>
          <t>1</t>
        </is>
      </c>
      <c r="B44" s="5" t="inlineStr">
        <is>
          <t>1.5</t>
        </is>
      </c>
      <c r="C44" s="5" t="inlineStr">
        <is>
          <t>Доработки к пилоту из открытых задач: цены из прайса в ТКП, ключи доступа к серверам моделей, эталон писем для ТКП до 20</t>
        </is>
      </c>
      <c r="D44" s="5" t="inlineStr">
        <is>
          <t>Р</t>
        </is>
      </c>
      <c r="E44" s="5" t="n">
        <v>2</v>
      </c>
      <c r="F44" s="5" t="n">
        <v>4</v>
      </c>
      <c r="G44" s="5" t="n">
        <v>6</v>
      </c>
      <c r="H44" s="6">
        <f>(E44+4*F44+G44)/6</f>
        <v/>
      </c>
      <c r="I44" s="13">
        <f>(G44-E44)/6</f>
        <v/>
      </c>
      <c r="J44" s="7">
        <f>H44*$B$4</f>
        <v/>
      </c>
      <c r="K44" s="8">
        <f>H44*$B$3</f>
        <v/>
      </c>
      <c r="L44" s="5" t="inlineStr">
        <is>
          <t>Э10-10, Э7-17, Д1</t>
        </is>
      </c>
    </row>
    <row r="45">
      <c r="A45" s="5" t="inlineStr">
        <is>
          <t>1</t>
        </is>
      </c>
      <c r="B45" s="5" t="inlineStr">
        <is>
          <t>1.6</t>
        </is>
      </c>
      <c r="C45" s="5" t="inlineStr">
        <is>
          <t>Установка в контуре партнёра: согласование с ИТ и ИБ, учётные записи и роли, обучение сотрудников отдела</t>
        </is>
      </c>
      <c r="D45" s="5" t="inlineStr">
        <is>
          <t>Р, М</t>
        </is>
      </c>
      <c r="E45" s="5" t="n">
        <v>2</v>
      </c>
      <c r="F45" s="5" t="n">
        <v>3</v>
      </c>
      <c r="G45" s="5" t="n">
        <v>5</v>
      </c>
      <c r="H45" s="6">
        <f>(E45+4*F45+G45)/6</f>
        <v/>
      </c>
      <c r="I45" s="13">
        <f>(G45-E45)/6</f>
        <v/>
      </c>
      <c r="J45" s="7">
        <f>H45*$B$4</f>
        <v/>
      </c>
      <c r="K45" s="8">
        <f>H45*$B$3</f>
        <v/>
      </c>
      <c r="L45" s="5" t="inlineStr">
        <is>
          <t>docs/vnedrenie.md</t>
        </is>
      </c>
    </row>
    <row r="46">
      <c r="A46" s="5" t="inlineStr">
        <is>
          <t>1</t>
        </is>
      </c>
      <c r="B46" s="5" t="inlineStr">
        <is>
          <t>1.7</t>
        </is>
      </c>
      <c r="C46" s="5" t="inlineStr">
        <is>
          <t>Сопровождение пилота 1–2 месяца: ответы с 👎 и вопросы без ответа, новые редакции, исправления</t>
        </is>
      </c>
      <c r="D46" s="5" t="inlineStr">
        <is>
          <t>Р, Т</t>
        </is>
      </c>
      <c r="E46" s="5" t="n">
        <v>4</v>
      </c>
      <c r="F46" s="5" t="n">
        <v>7</v>
      </c>
      <c r="G46" s="5" t="n">
        <v>12</v>
      </c>
      <c r="H46" s="6">
        <f>(E46+4*F46+G46)/6</f>
        <v/>
      </c>
      <c r="I46" s="13">
        <f>(G46-E46)/6</f>
        <v/>
      </c>
      <c r="J46" s="7">
        <f>H46*$B$4</f>
        <v/>
      </c>
      <c r="K46" s="8">
        <f>H46*$B$3</f>
        <v/>
      </c>
      <c r="L46" s="5" t="inlineStr">
        <is>
          <t>паспорт, п. 25</t>
        </is>
      </c>
    </row>
    <row r="47">
      <c r="A47" s="5" t="inlineStr">
        <is>
          <t>1</t>
        </is>
      </c>
      <c r="B47" s="5" t="inlineStr">
        <is>
          <t>1.8</t>
        </is>
      </c>
      <c r="C47" s="5" t="inlineStr">
        <is>
          <t>Замер «вручную / с агентом», отчёт об эффекте и кейс</t>
        </is>
      </c>
      <c r="D47" s="5" t="inlineStr">
        <is>
          <t>Т, М</t>
        </is>
      </c>
      <c r="E47" s="5" t="n">
        <v>2</v>
      </c>
      <c r="F47" s="5" t="n">
        <v>3</v>
      </c>
      <c r="G47" s="5" t="n">
        <v>5</v>
      </c>
      <c r="H47" s="6">
        <f>(E47+4*F47+G47)/6</f>
        <v/>
      </c>
      <c r="I47" s="13">
        <f>(G47-E47)/6</f>
        <v/>
      </c>
      <c r="J47" s="7">
        <f>H47*$B$4</f>
        <v/>
      </c>
      <c r="K47" s="8">
        <f>H47*$B$3</f>
        <v/>
      </c>
      <c r="L47" s="5" t="inlineStr">
        <is>
          <t>docs/pilot/zamer_i_stoimost.md</t>
        </is>
      </c>
    </row>
    <row r="48">
      <c r="A48" s="5" t="inlineStr">
        <is>
          <t>1</t>
        </is>
      </c>
      <c r="B48" s="5" t="inlineStr">
        <is>
          <t>1.9</t>
        </is>
      </c>
      <c r="C48" s="5" t="inlineStr">
        <is>
          <t>Регистрация программы для ЭВМ в Роспатенте: реферат, депонируемые материалы, заявка</t>
        </is>
      </c>
      <c r="D48" s="5" t="inlineStr">
        <is>
          <t>М</t>
        </is>
      </c>
      <c r="E48" s="5" t="n">
        <v>1</v>
      </c>
      <c r="F48" s="5" t="n">
        <v>2</v>
      </c>
      <c r="G48" s="5" t="n">
        <v>3</v>
      </c>
      <c r="H48" s="6">
        <f>(E48+4*F48+G48)/6</f>
        <v/>
      </c>
      <c r="I48" s="13">
        <f>(G48-E48)/6</f>
        <v/>
      </c>
      <c r="J48" s="7">
        <f>H48*$B$4</f>
        <v/>
      </c>
      <c r="K48" s="8">
        <f>H48*$B$3</f>
        <v/>
      </c>
      <c r="L48" s="5" t="inlineStr">
        <is>
          <t>госпошлина 5 000 ₽ — отдельно</t>
        </is>
      </c>
    </row>
    <row r="49">
      <c r="A49" s="5" t="inlineStr">
        <is>
          <t>1</t>
        </is>
      </c>
      <c r="B49" s="5" t="inlineStr">
        <is>
          <t>1.10</t>
        </is>
      </c>
      <c r="C49" s="5" t="inlineStr">
        <is>
          <t>Управление: еженедельные встречи с партнёром, планирование, отчёты</t>
        </is>
      </c>
      <c r="D49" s="5" t="inlineStr">
        <is>
          <t>М</t>
        </is>
      </c>
      <c r="E49" s="5" t="n">
        <v>2</v>
      </c>
      <c r="F49" s="5" t="n">
        <v>3</v>
      </c>
      <c r="G49" s="5" t="n">
        <v>5</v>
      </c>
      <c r="H49" s="6">
        <f>(E49+4*F49+G49)/6</f>
        <v/>
      </c>
      <c r="I49" s="13">
        <f>(G49-E49)/6</f>
        <v/>
      </c>
      <c r="J49" s="7">
        <f>H49*$B$4</f>
        <v/>
      </c>
      <c r="K49" s="8">
        <f>H49*$B$3</f>
        <v/>
      </c>
      <c r="L49" s="5" t="inlineStr">
        <is>
          <t>консультации партнёра ≈ 1 ч в неделю</t>
        </is>
      </c>
    </row>
    <row r="50">
      <c r="A50" s="14" t="n"/>
      <c r="B50" s="14" t="n"/>
      <c r="C50" s="14" t="inlineStr">
        <is>
          <t>Итого по этапу</t>
        </is>
      </c>
      <c r="D50" s="14" t="n"/>
      <c r="E50" s="14">
        <f>SUM(E40:E49)</f>
        <v/>
      </c>
      <c r="F50" s="14">
        <f>SUM(F40:F49)</f>
        <v/>
      </c>
      <c r="G50" s="14">
        <f>SUM(G40:G49)</f>
        <v/>
      </c>
      <c r="H50" s="15">
        <f>SUM(H40:H49)</f>
        <v/>
      </c>
      <c r="I50" s="16">
        <f>SUM(I40:I49)</f>
        <v/>
      </c>
      <c r="J50" s="17">
        <f>H50*$B$4</f>
        <v/>
      </c>
      <c r="K50" s="18">
        <f>H50*$B$3</f>
        <v/>
      </c>
      <c r="L50" s="14" t="n"/>
    </row>
    <row r="52">
      <c r="A52" s="9" t="inlineStr">
        <is>
          <t>Этап 2. Коммерческая версия 1.0 — можно продавать, TRL 7</t>
        </is>
      </c>
      <c r="B52" s="9" t="n"/>
      <c r="C52" s="9" t="inlineStr">
        <is>
          <t>декабрь 2026 — май 2027, частично параллельно с пилотом. Всё, без чего нельзя продавать за пределами партнёра: лицензии компонентов, отечественная ОС, вход через учётные записи предприятия, обновления, документация.</t>
        </is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5" t="inlineStr">
        <is>
          <t>2</t>
        </is>
      </c>
      <c r="B53" s="5" t="inlineStr">
        <is>
          <t>2.1</t>
        </is>
      </c>
      <c r="C53" s="5" t="inlineStr">
        <is>
          <t>Замена PyMuPDF (AGPL-3.0) на pypdfium2 + Tesseract: разбор PDF, распознавание сканов, страница с выделенным фрагментом; перепроверка всех наборов</t>
        </is>
      </c>
      <c r="D53" s="5" t="inlineStr">
        <is>
          <t>Р</t>
        </is>
      </c>
      <c r="E53" s="5" t="n">
        <v>5</v>
      </c>
      <c r="F53" s="5" t="n">
        <v>8</v>
      </c>
      <c r="G53" s="5" t="n">
        <v>12</v>
      </c>
      <c r="H53" s="6">
        <f>(E53+4*F53+G53)/6</f>
        <v/>
      </c>
      <c r="I53" s="13">
        <f>(G53-E53)/6</f>
        <v/>
      </c>
      <c r="J53" s="7">
        <f>H53*$B$4</f>
        <v/>
      </c>
      <c r="K53" s="8">
        <f>H53*$B$3</f>
        <v/>
      </c>
      <c r="L53" s="5" t="inlineStr">
        <is>
          <t>Э8-09; без этого продавать нельзя</t>
        </is>
      </c>
    </row>
    <row r="54">
      <c r="A54" s="5" t="inlineStr">
        <is>
          <t>2</t>
        </is>
      </c>
      <c r="B54" s="5" t="inlineStr">
        <is>
          <t>2.2</t>
        </is>
      </c>
      <c r="C54" s="5" t="inlineStr">
        <is>
          <t>Версия для Astra Linux и РЕД ОС: службы и скрипты запуска, сборка llama.cpp под NVIDIA, поставка без интернета, проверка на обеих ОС</t>
        </is>
      </c>
      <c r="D54" s="5" t="inlineStr">
        <is>
          <t>Р, Т</t>
        </is>
      </c>
      <c r="E54" s="5" t="n">
        <v>10</v>
      </c>
      <c r="F54" s="5" t="n">
        <v>15</v>
      </c>
      <c r="G54" s="5" t="n">
        <v>30</v>
      </c>
      <c r="H54" s="6">
        <f>(E54+4*F54+G54)/6</f>
        <v/>
      </c>
      <c r="I54" s="13">
        <f>(G54-E54)/6</f>
        <v/>
      </c>
      <c r="J54" s="7">
        <f>H54*$B$4</f>
        <v/>
      </c>
      <c r="K54" s="8">
        <f>H54*$B$3</f>
        <v/>
      </c>
      <c r="L54" s="5" t="inlineStr">
        <is>
          <t>П-1; пессимистичная — если нужна подпись файлов для замкнутой среды Astra</t>
        </is>
      </c>
    </row>
    <row r="55">
      <c r="A55" s="5" t="inlineStr">
        <is>
          <t>2</t>
        </is>
      </c>
      <c r="B55" s="5" t="inlineStr">
        <is>
          <t>2.3</t>
        </is>
      </c>
      <c r="C55" s="5" t="inlineStr">
        <is>
          <t>Вход через Active Directory / ALD Pro / FreeIPA, роли из групп каталога</t>
        </is>
      </c>
      <c r="D55" s="5" t="inlineStr">
        <is>
          <t>Р</t>
        </is>
      </c>
      <c r="E55" s="5" t="n">
        <v>4</v>
      </c>
      <c r="F55" s="5" t="n">
        <v>6</v>
      </c>
      <c r="G55" s="5" t="n">
        <v>10</v>
      </c>
      <c r="H55" s="6">
        <f>(E55+4*F55+G55)/6</f>
        <v/>
      </c>
      <c r="I55" s="13">
        <f>(G55-E55)/6</f>
        <v/>
      </c>
      <c r="J55" s="7">
        <f>H55*$B$4</f>
        <v/>
      </c>
      <c r="K55" s="8">
        <f>H55*$B$3</f>
        <v/>
      </c>
      <c r="L55" s="5" t="inlineStr">
        <is>
          <t>П-2</t>
        </is>
      </c>
    </row>
    <row r="56">
      <c r="A56" s="5" t="inlineStr">
        <is>
          <t>2</t>
        </is>
      </c>
      <c r="B56" s="5" t="inlineStr">
        <is>
          <t>2.4</t>
        </is>
      </c>
      <c r="C56" s="5" t="inlineStr">
        <is>
          <t>Сетевая папка с автоматической переиндексацией</t>
        </is>
      </c>
      <c r="D56" s="5" t="inlineStr">
        <is>
          <t>Р</t>
        </is>
      </c>
      <c r="E56" s="5" t="n">
        <v>3</v>
      </c>
      <c r="F56" s="5" t="n">
        <v>5</v>
      </c>
      <c r="G56" s="5" t="n">
        <v>8</v>
      </c>
      <c r="H56" s="6">
        <f>(E56+4*F56+G56)/6</f>
        <v/>
      </c>
      <c r="I56" s="13">
        <f>(G56-E56)/6</f>
        <v/>
      </c>
      <c r="J56" s="7">
        <f>H56*$B$4</f>
        <v/>
      </c>
      <c r="K56" s="8">
        <f>H56*$B$3</f>
        <v/>
      </c>
      <c r="L56" s="5" t="inlineStr">
        <is>
          <t>П-3</t>
        </is>
      </c>
    </row>
    <row r="57">
      <c r="A57" s="5" t="inlineStr">
        <is>
          <t>2</t>
        </is>
      </c>
      <c r="B57" s="5" t="inlineStr">
        <is>
          <t>2.5</t>
        </is>
      </c>
      <c r="C57" s="5" t="inlineStr">
        <is>
          <t>Надёжность: резервные копии, обновление версии без потери журналов и диалогов, контроль состояния системы</t>
        </is>
      </c>
      <c r="D57" s="5" t="inlineStr">
        <is>
          <t>Р</t>
        </is>
      </c>
      <c r="E57" s="5" t="n">
        <v>3</v>
      </c>
      <c r="F57" s="5" t="n">
        <v>5</v>
      </c>
      <c r="G57" s="5" t="n">
        <v>8</v>
      </c>
      <c r="H57" s="6">
        <f>(E57+4*F57+G57)/6</f>
        <v/>
      </c>
      <c r="I57" s="13">
        <f>(G57-E57)/6</f>
        <v/>
      </c>
      <c r="J57" s="7">
        <f>H57*$B$4</f>
        <v/>
      </c>
      <c r="K57" s="8">
        <f>H57*$B$3</f>
        <v/>
      </c>
      <c r="L57" s="5" t="inlineStr">
        <is>
          <t>docs/vnedrenie.md, «Установка и сопровождение»</t>
        </is>
      </c>
    </row>
    <row r="58">
      <c r="A58" s="5" t="inlineStr">
        <is>
          <t>2</t>
        </is>
      </c>
      <c r="B58" s="5" t="inlineStr">
        <is>
          <t>2.6</t>
        </is>
      </c>
      <c r="C58" s="5" t="inlineStr">
        <is>
          <t>Сравнение с более крупной моделью, конфигурации оборудования на 50 / 200 / 1000 пользователей</t>
        </is>
      </c>
      <c r="D58" s="5" t="inlineStr">
        <is>
          <t>Р, Т</t>
        </is>
      </c>
      <c r="E58" s="5" t="n">
        <v>1</v>
      </c>
      <c r="F58" s="5" t="n">
        <v>2</v>
      </c>
      <c r="G58" s="5" t="n">
        <v>4</v>
      </c>
      <c r="H58" s="6">
        <f>(E58+4*F58+G58)/6</f>
        <v/>
      </c>
      <c r="I58" s="13">
        <f>(G58-E58)/6</f>
        <v/>
      </c>
      <c r="J58" s="7">
        <f>H58*$B$4</f>
        <v/>
      </c>
      <c r="K58" s="8">
        <f>H58*$B$3</f>
        <v/>
      </c>
      <c r="L58" s="5" t="inlineStr">
        <is>
          <t>Э2-22</t>
        </is>
      </c>
    </row>
    <row r="59">
      <c r="A59" s="5" t="inlineStr">
        <is>
          <t>2</t>
        </is>
      </c>
      <c r="B59" s="5" t="inlineStr">
        <is>
          <t>2.7</t>
        </is>
      </c>
      <c r="C59" s="5" t="inlineStr">
        <is>
          <t>Документация продукта: руководства администратора и пользователя, описание для ИБ, лицензионный договор (с юристом)</t>
        </is>
      </c>
      <c r="D59" s="5" t="inlineStr">
        <is>
          <t>Т, М</t>
        </is>
      </c>
      <c r="E59" s="5" t="n">
        <v>3</v>
      </c>
      <c r="F59" s="5" t="n">
        <v>5</v>
      </c>
      <c r="G59" s="5" t="n">
        <v>8</v>
      </c>
      <c r="H59" s="6">
        <f>(E59+4*F59+G59)/6</f>
        <v/>
      </c>
      <c r="I59" s="13">
        <f>(G59-E59)/6</f>
        <v/>
      </c>
      <c r="J59" s="7">
        <f>H59*$B$4</f>
        <v/>
      </c>
      <c r="K59" s="8">
        <f>H59*$B$3</f>
        <v/>
      </c>
      <c r="L59" s="5" t="inlineStr"/>
    </row>
    <row r="60">
      <c r="A60" s="5" t="inlineStr">
        <is>
          <t>2</t>
        </is>
      </c>
      <c r="B60" s="5" t="inlineStr">
        <is>
          <t>2.8</t>
        </is>
      </c>
      <c r="C60" s="5" t="inlineStr">
        <is>
          <t>Релизное тестирование: все наборы на 2–3 конфигурациях, установка с нуля, нагрузка</t>
        </is>
      </c>
      <c r="D60" s="5" t="inlineStr">
        <is>
          <t>Т</t>
        </is>
      </c>
      <c r="E60" s="5" t="n">
        <v>3</v>
      </c>
      <c r="F60" s="5" t="n">
        <v>5</v>
      </c>
      <c r="G60" s="5" t="n">
        <v>8</v>
      </c>
      <c r="H60" s="6">
        <f>(E60+4*F60+G60)/6</f>
        <v/>
      </c>
      <c r="I60" s="13">
        <f>(G60-E60)/6</f>
        <v/>
      </c>
      <c r="J60" s="7">
        <f>H60*$B$4</f>
        <v/>
      </c>
      <c r="K60" s="8">
        <f>H60*$B$3</f>
        <v/>
      </c>
      <c r="L60" s="5" t="inlineStr"/>
    </row>
    <row r="61">
      <c r="A61" s="5" t="inlineStr">
        <is>
          <t>2</t>
        </is>
      </c>
      <c r="B61" s="5" t="inlineStr">
        <is>
          <t>2.9</t>
        </is>
      </c>
      <c r="C61" s="5" t="inlineStr">
        <is>
          <t>Управление</t>
        </is>
      </c>
      <c r="D61" s="5" t="inlineStr">
        <is>
          <t>М</t>
        </is>
      </c>
      <c r="E61" s="5" t="n">
        <v>2</v>
      </c>
      <c r="F61" s="5" t="n">
        <v>4</v>
      </c>
      <c r="G61" s="5" t="n">
        <v>6</v>
      </c>
      <c r="H61" s="6">
        <f>(E61+4*F61+G61)/6</f>
        <v/>
      </c>
      <c r="I61" s="13">
        <f>(G61-E61)/6</f>
        <v/>
      </c>
      <c r="J61" s="7">
        <f>H61*$B$4</f>
        <v/>
      </c>
      <c r="K61" s="8">
        <f>H61*$B$3</f>
        <v/>
      </c>
      <c r="L61" s="5" t="inlineStr"/>
    </row>
    <row r="62">
      <c r="A62" s="14" t="n"/>
      <c r="B62" s="14" t="n"/>
      <c r="C62" s="14" t="inlineStr">
        <is>
          <t>Итого по этапу</t>
        </is>
      </c>
      <c r="D62" s="14" t="n"/>
      <c r="E62" s="14">
        <f>SUM(E53:E61)</f>
        <v/>
      </c>
      <c r="F62" s="14">
        <f>SUM(F53:F61)</f>
        <v/>
      </c>
      <c r="G62" s="14">
        <f>SUM(G53:G61)</f>
        <v/>
      </c>
      <c r="H62" s="15">
        <f>SUM(H53:H61)</f>
        <v/>
      </c>
      <c r="I62" s="16">
        <f>SUM(I53:I61)</f>
        <v/>
      </c>
      <c r="J62" s="17">
        <f>H62*$B$4</f>
        <v/>
      </c>
      <c r="K62" s="18">
        <f>H62*$B$3</f>
        <v/>
      </c>
      <c r="L62" s="14" t="n"/>
    </row>
    <row r="64">
      <c r="A64" s="9" t="inlineStr">
        <is>
          <t>Этап 3. Развитие по спросу — 2027–2028</t>
        </is>
      </c>
      <c r="B64" s="9" t="n"/>
      <c r="C64" s="9" t="inlineStr">
        <is>
          <t>по заказу клиента или по гранту; в «итого до коммерческой версии» не входит. Каждая работа оценивается отдельно и делается, когда за неё готов платить клиент или грант. Интеграции с конкретной системой — за одну систему.</t>
        </is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5" t="inlineStr">
        <is>
          <t>3</t>
        </is>
      </c>
      <c r="B65" s="5" t="inlineStr">
        <is>
          <t>3.1</t>
        </is>
      </c>
      <c r="C65" s="5" t="inlineStr">
        <is>
          <t>Веб-клиент вместо Streamlit — для предприятий от ≈ 100 одновременных пользователей</t>
        </is>
      </c>
      <c r="D65" s="5" t="inlineStr">
        <is>
          <t>Р</t>
        </is>
      </c>
      <c r="E65" s="5" t="n">
        <v>20</v>
      </c>
      <c r="F65" s="5" t="n">
        <v>30</v>
      </c>
      <c r="G65" s="5" t="n">
        <v>45</v>
      </c>
      <c r="H65" s="6">
        <f>(E65+4*F65+G65)/6</f>
        <v/>
      </c>
      <c r="I65" s="13">
        <f>(G65-E65)/6</f>
        <v/>
      </c>
      <c r="J65" s="7">
        <f>H65*$B$4</f>
        <v/>
      </c>
      <c r="K65" s="8">
        <f>H65*$B$3</f>
        <v/>
      </c>
      <c r="L65" s="5" t="inlineStr">
        <is>
          <t>README, «Ограничения»</t>
        </is>
      </c>
    </row>
    <row r="66">
      <c r="A66" s="5" t="inlineStr">
        <is>
          <t>3</t>
        </is>
      </c>
      <c r="B66" s="5" t="inlineStr">
        <is>
          <t>3.2</t>
        </is>
      </c>
      <c r="C66" s="5" t="inlineStr">
        <is>
          <t>1С: чтение через OData или копию базы, слой понятных названий для типовой конфигурации</t>
        </is>
      </c>
      <c r="D66" s="5" t="inlineStr">
        <is>
          <t>Р</t>
        </is>
      </c>
      <c r="E66" s="5" t="n">
        <v>8</v>
      </c>
      <c r="F66" s="5" t="n">
        <v>12</v>
      </c>
      <c r="G66" s="5" t="n">
        <v>20</v>
      </c>
      <c r="H66" s="6">
        <f>(E66+4*F66+G66)/6</f>
        <v/>
      </c>
      <c r="I66" s="13">
        <f>(G66-E66)/6</f>
        <v/>
      </c>
      <c r="J66" s="7">
        <f>H66*$B$4</f>
        <v/>
      </c>
      <c r="K66" s="8">
        <f>H66*$B$3</f>
        <v/>
      </c>
      <c r="L66" s="5" t="inlineStr">
        <is>
          <t>слайд 12, 2027</t>
        </is>
      </c>
    </row>
    <row r="67">
      <c r="A67" s="5" t="inlineStr">
        <is>
          <t>3</t>
        </is>
      </c>
      <c r="B67" s="5" t="inlineStr">
        <is>
          <t>3.3</t>
        </is>
      </c>
      <c r="C67" s="5" t="inlineStr">
        <is>
          <t>ERP или MES — за одну систему, по аналогии с 1С</t>
        </is>
      </c>
      <c r="D67" s="5" t="inlineStr">
        <is>
          <t>Р</t>
        </is>
      </c>
      <c r="E67" s="5" t="n">
        <v>8</v>
      </c>
      <c r="F67" s="5" t="n">
        <v>12</v>
      </c>
      <c r="G67" s="5" t="n">
        <v>20</v>
      </c>
      <c r="H67" s="6">
        <f>(E67+4*F67+G67)/6</f>
        <v/>
      </c>
      <c r="I67" s="13">
        <f>(G67-E67)/6</f>
        <v/>
      </c>
      <c r="J67" s="7">
        <f>H67*$B$4</f>
        <v/>
      </c>
      <c r="K67" s="8">
        <f>H67*$B$3</f>
        <v/>
      </c>
      <c r="L67" s="5" t="inlineStr">
        <is>
          <t>слайд 12</t>
        </is>
      </c>
    </row>
    <row r="68">
      <c r="A68" s="5" t="inlineStr">
        <is>
          <t>3</t>
        </is>
      </c>
      <c r="B68" s="5" t="inlineStr">
        <is>
          <t>3.4</t>
        </is>
      </c>
      <c r="C68" s="5" t="inlineStr">
        <is>
          <t>Почта отдела: письма клиентов из ящика → черновик ТКП</t>
        </is>
      </c>
      <c r="D68" s="5" t="inlineStr">
        <is>
          <t>Р</t>
        </is>
      </c>
      <c r="E68" s="5" t="n">
        <v>5</v>
      </c>
      <c r="F68" s="5" t="n">
        <v>8</v>
      </c>
      <c r="G68" s="5" t="n">
        <v>12</v>
      </c>
      <c r="H68" s="6">
        <f>(E68+4*F68+G68)/6</f>
        <v/>
      </c>
      <c r="I68" s="13">
        <f>(G68-E68)/6</f>
        <v/>
      </c>
      <c r="J68" s="7">
        <f>H68*$B$4</f>
        <v/>
      </c>
      <c r="K68" s="8">
        <f>H68*$B$3</f>
        <v/>
      </c>
      <c r="L68" s="5" t="inlineStr">
        <is>
          <t>слайд 12, 2027</t>
        </is>
      </c>
    </row>
    <row r="69">
      <c r="A69" s="5" t="inlineStr">
        <is>
          <t>3</t>
        </is>
      </c>
      <c r="B69" s="5" t="inlineStr">
        <is>
          <t>3.5</t>
        </is>
      </c>
      <c r="C69" s="5" t="inlineStr">
        <is>
          <t>CRM (например, Битрикс24): ответ и ТКП в карточку сделки</t>
        </is>
      </c>
      <c r="D69" s="5" t="inlineStr">
        <is>
          <t>Р</t>
        </is>
      </c>
      <c r="E69" s="5" t="n">
        <v>6</v>
      </c>
      <c r="F69" s="5" t="n">
        <v>10</v>
      </c>
      <c r="G69" s="5" t="n">
        <v>15</v>
      </c>
      <c r="H69" s="6">
        <f>(E69+4*F69+G69)/6</f>
        <v/>
      </c>
      <c r="I69" s="13">
        <f>(G69-E69)/6</f>
        <v/>
      </c>
      <c r="J69" s="7">
        <f>H69*$B$4</f>
        <v/>
      </c>
      <c r="K69" s="8">
        <f>H69*$B$3</f>
        <v/>
      </c>
      <c r="L69" s="5" t="inlineStr">
        <is>
          <t>слайд 12, 2027</t>
        </is>
      </c>
    </row>
    <row r="70">
      <c r="A70" s="5" t="inlineStr">
        <is>
          <t>3</t>
        </is>
      </c>
      <c r="B70" s="5" t="inlineStr">
        <is>
          <t>3.6</t>
        </is>
      </c>
      <c r="C70" s="5" t="inlineStr">
        <is>
          <t>СЭД (1С:Документооборот, DIRECTUM, ELMA) — за одну систему</t>
        </is>
      </c>
      <c r="D70" s="5" t="inlineStr">
        <is>
          <t>Р</t>
        </is>
      </c>
      <c r="E70" s="5" t="n">
        <v>8</v>
      </c>
      <c r="F70" s="5" t="n">
        <v>12</v>
      </c>
      <c r="G70" s="5" t="n">
        <v>20</v>
      </c>
      <c r="H70" s="6">
        <f>(E70+4*F70+G70)/6</f>
        <v/>
      </c>
      <c r="I70" s="13">
        <f>(G70-E70)/6</f>
        <v/>
      </c>
      <c r="J70" s="7">
        <f>H70*$B$4</f>
        <v/>
      </c>
      <c r="K70" s="8">
        <f>H70*$B$3</f>
        <v/>
      </c>
      <c r="L70" s="5" t="inlineStr">
        <is>
          <t>П-3</t>
        </is>
      </c>
    </row>
    <row r="71">
      <c r="A71" s="5" t="inlineStr">
        <is>
          <t>3</t>
        </is>
      </c>
      <c r="B71" s="5" t="inlineStr">
        <is>
          <t>3.7</t>
        </is>
      </c>
      <c r="C71" s="5" t="inlineStr">
        <is>
          <t>Автоматический поиск противоречий между документами</t>
        </is>
      </c>
      <c r="D71" s="5" t="inlineStr">
        <is>
          <t>Р</t>
        </is>
      </c>
      <c r="E71" s="5" t="n">
        <v>4</v>
      </c>
      <c r="F71" s="5" t="n">
        <v>6</v>
      </c>
      <c r="G71" s="5" t="n">
        <v>10</v>
      </c>
      <c r="H71" s="6">
        <f>(E71+4*F71+G71)/6</f>
        <v/>
      </c>
      <c r="I71" s="13">
        <f>(G71-E71)/6</f>
        <v/>
      </c>
      <c r="J71" s="7">
        <f>H71*$B$4</f>
        <v/>
      </c>
      <c r="K71" s="8">
        <f>H71*$B$3</f>
        <v/>
      </c>
      <c r="L71" s="5" t="inlineStr">
        <is>
          <t>Э8-08</t>
        </is>
      </c>
    </row>
    <row r="72">
      <c r="A72" s="5" t="inlineStr">
        <is>
          <t>3</t>
        </is>
      </c>
      <c r="B72" s="5" t="inlineStr">
        <is>
          <t>3.8</t>
        </is>
      </c>
      <c r="C72" s="5" t="inlineStr">
        <is>
          <t>Подготовка к включению в реестр российского ПО: документы, требования Минцифры</t>
        </is>
      </c>
      <c r="D72" s="5" t="inlineStr">
        <is>
          <t>М, Т</t>
        </is>
      </c>
      <c r="E72" s="5" t="n">
        <v>10</v>
      </c>
      <c r="F72" s="5" t="n">
        <v>15</v>
      </c>
      <c r="G72" s="5" t="n">
        <v>25</v>
      </c>
      <c r="H72" s="6">
        <f>(E72+4*F72+G72)/6</f>
        <v/>
      </c>
      <c r="I72" s="13">
        <f>(G72-E72)/6</f>
        <v/>
      </c>
      <c r="J72" s="7">
        <f>H72*$B$4</f>
        <v/>
      </c>
      <c r="K72" s="8">
        <f>H72*$B$3</f>
        <v/>
      </c>
      <c r="L72" s="5" t="inlineStr">
        <is>
          <t>нужно юрлицо-правообладатель; слайд 12, 2028</t>
        </is>
      </c>
    </row>
    <row r="73">
      <c r="A73" s="14" t="n"/>
      <c r="B73" s="14" t="n"/>
      <c r="C73" s="14" t="inlineStr">
        <is>
          <t>Итого по этапу</t>
        </is>
      </c>
      <c r="D73" s="14" t="n"/>
      <c r="E73" s="14">
        <f>SUM(E65:E72)</f>
        <v/>
      </c>
      <c r="F73" s="14">
        <f>SUM(F65:F72)</f>
        <v/>
      </c>
      <c r="G73" s="14">
        <f>SUM(G65:G72)</f>
        <v/>
      </c>
      <c r="H73" s="15">
        <f>SUM(H65:H72)</f>
        <v/>
      </c>
      <c r="I73" s="16">
        <f>SUM(I65:I72)</f>
        <v/>
      </c>
      <c r="J73" s="17">
        <f>H73*$B$4</f>
        <v/>
      </c>
      <c r="K73" s="18">
        <f>H73*$B$3</f>
        <v/>
      </c>
      <c r="L73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4" customWidth="1" min="4" max="4"/>
    <col width="14" customWidth="1" min="5" max="5"/>
  </cols>
  <sheetData>
    <row r="1">
      <c r="A1" s="1" t="inlineStr">
        <is>
          <t>Внедрение и сопровождение у одного клиента</t>
        </is>
      </c>
    </row>
    <row r="3">
      <c r="A3" s="4" t="inlineStr">
        <is>
          <t>Работа</t>
        </is>
      </c>
      <c r="B3" s="4" t="inlineStr">
        <is>
          <t>Мин., чел.-дн.</t>
        </is>
      </c>
      <c r="C3" s="4" t="inlineStr">
        <is>
          <t>Макс., чел.-дн.</t>
        </is>
      </c>
      <c r="D3" s="4" t="inlineStr">
        <is>
          <t>Мин., ₽</t>
        </is>
      </c>
      <c r="E3" s="4" t="inlineStr">
        <is>
          <t>Макс., ₽</t>
        </is>
      </c>
    </row>
    <row r="4">
      <c r="A4" s="5" t="inlineStr">
        <is>
          <t>Подготовка документов клиента: реестр, разбор, проверка сканов</t>
        </is>
      </c>
      <c r="B4" s="5" t="n">
        <v>3</v>
      </c>
      <c r="C4" s="5" t="n">
        <v>5</v>
      </c>
      <c r="D4" s="8">
        <f>B4*'Трудоёмкость'!$B$3</f>
        <v/>
      </c>
      <c r="E4" s="8">
        <f>C4*'Трудоёмкость'!$B$3</f>
        <v/>
      </c>
    </row>
    <row r="5">
      <c r="A5" s="5" t="inlineStr">
        <is>
          <t>Роли и права доступа</t>
        </is>
      </c>
      <c r="B5" s="5" t="n">
        <v>1</v>
      </c>
      <c r="C5" s="5" t="n">
        <v>2</v>
      </c>
      <c r="D5" s="8">
        <f>B5*'Трудоёмкость'!$B$3</f>
        <v/>
      </c>
      <c r="E5" s="8">
        <f>C5*'Трудоёмкость'!$B$3</f>
        <v/>
      </c>
    </row>
    <row r="6">
      <c r="A6" s="5" t="inlineStr">
        <is>
          <t>Проверочный набор и замер качества на вопросах клиента</t>
        </is>
      </c>
      <c r="B6" s="5" t="n">
        <v>2</v>
      </c>
      <c r="C6" s="5" t="n">
        <v>3</v>
      </c>
      <c r="D6" s="8">
        <f>B6*'Трудоёмкость'!$B$3</f>
        <v/>
      </c>
      <c r="E6" s="8">
        <f>C6*'Трудоёмкость'!$B$3</f>
        <v/>
      </c>
    </row>
    <row r="7">
      <c r="A7" s="5" t="inlineStr">
        <is>
          <t>Обучение сотрудников</t>
        </is>
      </c>
      <c r="B7" s="5" t="n">
        <v>1</v>
      </c>
      <c r="C7" s="5" t="n">
        <v>1</v>
      </c>
      <c r="D7" s="8">
        <f>B7*'Трудоёмкость'!$B$3</f>
        <v/>
      </c>
      <c r="E7" s="8">
        <f>C7*'Трудоёмкость'!$B$3</f>
        <v/>
      </c>
    </row>
    <row r="8">
      <c r="A8" s="9" t="inlineStr">
        <is>
          <t>Внедрение, итого</t>
        </is>
      </c>
      <c r="B8" s="9">
        <f>SUM(B4:B7)</f>
        <v/>
      </c>
      <c r="C8" s="9">
        <f>SUM(C4:C7)</f>
        <v/>
      </c>
      <c r="D8" s="12">
        <f>SUM(D4:D7)</f>
        <v/>
      </c>
      <c r="E8" s="12">
        <f>SUM(E4:E7)</f>
        <v/>
      </c>
    </row>
    <row r="9">
      <c r="A9" s="5" t="inlineStr">
        <is>
          <t>Справочник параметров — если клиенту нужен подбор и ТКП</t>
        </is>
      </c>
      <c r="B9" s="5" t="n">
        <v>3</v>
      </c>
      <c r="C9" s="5" t="n">
        <v>10</v>
      </c>
      <c r="D9" s="8">
        <f>B9*'Трудоёмкость'!$B$3</f>
        <v/>
      </c>
      <c r="E9" s="8">
        <f>C9*'Трудоёмкость'!$B$3</f>
        <v/>
      </c>
    </row>
    <row r="11">
      <c r="A11" s="4" t="inlineStr">
        <is>
          <t>Сопровождение</t>
        </is>
      </c>
      <c r="B11" s="4" t="inlineStr">
        <is>
          <t>Мин., ч в месяц</t>
        </is>
      </c>
      <c r="C11" s="4" t="inlineStr">
        <is>
          <t>Макс., ч в месяц</t>
        </is>
      </c>
      <c r="D11" s="4" t="inlineStr">
        <is>
          <t>Мин., ₽ в год</t>
        </is>
      </c>
      <c r="E11" s="4" t="inlineStr">
        <is>
          <t>Макс., ₽ в год</t>
        </is>
      </c>
    </row>
    <row r="12">
      <c r="A12" s="5" t="inlineStr">
        <is>
          <t>Загрузка новых документов, вопросы, обновления</t>
        </is>
      </c>
      <c r="B12" s="5" t="n">
        <v>2</v>
      </c>
      <c r="C12" s="5" t="n">
        <v>8</v>
      </c>
      <c r="D12" s="8">
        <f>B12*12/'Трудоёмкость'!$B$4*'Трудоёмкость'!$B$3</f>
        <v/>
      </c>
      <c r="E12" s="8">
        <f>C12*12/'Трудоёмкость'!$B$4*'Трудоёмкость'!$B$3</f>
        <v/>
      </c>
    </row>
    <row r="14">
      <c r="A14" s="19" t="inlineStr">
        <is>
          <t>Для первых 2–3 клиентов закладывайте верхнюю границу и сверху 30–50 %: процесс внедрения ещё не отработан.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0" customWidth="1" min="4" max="4"/>
    <col width="8" customWidth="1" min="5" max="5"/>
    <col width="60" customWidth="1" min="6" max="6"/>
    <col width="12" customWidth="1" min="7" max="7"/>
    <col width="10" customWidth="1" min="8" max="8"/>
  </cols>
  <sheetData>
    <row r="1">
      <c r="A1" s="1" t="inlineStr">
        <is>
          <t>Фактические часы — с ноября 2026, чтобы после пилота заменить оценки фактом</t>
        </is>
      </c>
    </row>
    <row r="3">
      <c r="A3" s="4" t="inlineStr">
        <is>
          <t>Дата</t>
        </is>
      </c>
      <c r="B3" s="4" t="inlineStr">
        <is>
          <t>Участник</t>
        </is>
      </c>
      <c r="C3" s="4" t="inlineStr">
        <is>
          <t>Этап</t>
        </is>
      </c>
      <c r="D3" s="4" t="inlineStr">
        <is>
          <t>№ работы</t>
        </is>
      </c>
      <c r="E3" s="4" t="inlineStr">
        <is>
          <t>Часы</t>
        </is>
      </c>
      <c r="F3" s="4" t="inlineStr">
        <is>
          <t>Что сделано</t>
        </is>
      </c>
      <c r="G3" s="2" t="inlineStr">
        <is>
          <t>Итого часов</t>
        </is>
      </c>
      <c r="H3">
        <f>SUM(E4:E1000)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2026-10-26T11:09:43Z</dcterms:created>
  <dcterms:modified xmlns:dcterms="http://purl.org/dc/terms/" xmlns:xsi="http://www.w3.org/2001/XMLSchema-instance" xsi:type="dcterms:W3CDTF">2026-10-26T11:09:43Z</dcterms:modified>
</cp:coreProperties>
</file>