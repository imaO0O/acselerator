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План" sheetId="2" state="visible" r:id="rId2"/>
    <sheet xmlns:r="http://schemas.openxmlformats.org/officeDocument/2006/relationships" name="Клиент" sheetId="3" state="visible" r:id="rId3"/>
    <sheet xmlns:r="http://schemas.openxmlformats.org/officeDocument/2006/relationships" name="Эффект для заказчика" sheetId="4" state="visible" r:id="rId4"/>
    <sheet xmlns:r="http://schemas.openxmlformats.org/officeDocument/2006/relationships" name="Чувствительность" sheetId="5" state="visible" r:id="rId5"/>
    <sheet xmlns:r="http://schemas.openxmlformats.org/officeDocument/2006/relationships" name="Созданный продук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4B3A75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E9E4F3"/>
      </patternFill>
    </fill>
    <fill>
      <patternFill patternType="solid">
        <fgColor rgb="00F4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2" borderId="0" applyAlignment="1" pivotButton="0" quotePrefix="0" xfId="0">
      <alignment vertical="top" wrapText="1"/>
    </xf>
    <xf numFmtId="9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64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0" fontId="2" fillId="4" borderId="0" pivotButton="0" quotePrefix="0" xfId="0"/>
    <xf numFmtId="3" fontId="2" fillId="4" borderId="0" pivotButton="0" quotePrefix="0" xfId="0"/>
    <xf numFmtId="0" fontId="2" fillId="3" borderId="0" applyAlignment="1" pivotButton="0" quotePrefix="0" xfId="0">
      <alignment wrapText="1"/>
    </xf>
    <xf numFmtId="3" fontId="0" fillId="2" borderId="0" pivotButton="0" quotePrefix="0" xfId="0"/>
    <xf numFmtId="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2" customWidth="1" min="3" max="3"/>
    <col width="15" customWidth="1" min="4" max="4"/>
    <col width="13" customWidth="1" min="5" max="5"/>
    <col width="13" customWidth="1" min="6" max="6"/>
    <col width="10" customWidth="1" min="7" max="7"/>
    <col width="70" customWidth="1" min="8" max="8"/>
  </cols>
  <sheetData>
    <row r="1">
      <c r="A1" s="1" t="inlineStr">
        <is>
          <t>Финансовая модель: допущения</t>
        </is>
      </c>
    </row>
    <row r="3">
      <c r="A3" s="2" t="inlineStr">
        <is>
          <t>Сценарий</t>
        </is>
      </c>
      <c r="D3" s="3" t="inlineStr">
        <is>
          <t>базовый</t>
        </is>
      </c>
      <c r="E3" t="inlineStr">
        <is>
          <t>← выберите: консервативный, базовый или оптимистичный</t>
        </is>
      </c>
    </row>
    <row r="4">
      <c r="A4" t="inlineStr">
        <is>
          <t>Номер сценария</t>
        </is>
      </c>
      <c r="D4">
        <f>IF(D3="консервативный",1,IF(D3="оптимистичный",3,2))</f>
        <v/>
      </c>
    </row>
    <row r="6">
      <c r="A6" s="4" t="inlineStr">
        <is>
          <t>Ключ</t>
        </is>
      </c>
      <c r="B6" s="4" t="inlineStr">
        <is>
          <t>Допущение</t>
        </is>
      </c>
      <c r="C6" s="4" t="inlineStr">
        <is>
          <t>Единица</t>
        </is>
      </c>
      <c r="D6" s="4" t="inlineStr">
        <is>
          <t>Значение / 2027</t>
        </is>
      </c>
      <c r="E6" s="4" t="inlineStr">
        <is>
          <t>2028</t>
        </is>
      </c>
      <c r="F6" s="4" t="inlineStr">
        <is>
          <t>2029</t>
        </is>
      </c>
      <c r="G6" s="4" t="inlineStr">
        <is>
          <t>Статус</t>
        </is>
      </c>
      <c r="H6" s="4" t="inlineStr">
        <is>
          <t>Источник, как проверить</t>
        </is>
      </c>
    </row>
    <row r="7">
      <c r="A7" s="5" t="n"/>
      <c r="B7" s="6" t="inlineStr">
        <is>
          <t>Цены</t>
        </is>
      </c>
      <c r="C7" s="5" t="n"/>
      <c r="D7" s="5" t="n"/>
      <c r="E7" s="5" t="n"/>
      <c r="F7" s="5" t="n"/>
      <c r="G7" s="5" t="n"/>
      <c r="H7" s="5" t="n"/>
    </row>
    <row r="8">
      <c r="A8" s="5" t="inlineStr">
        <is>
          <t>impl_price</t>
        </is>
      </c>
      <c r="B8" s="5" t="inlineStr">
        <is>
          <t>Внедрение (разово)</t>
        </is>
      </c>
      <c r="C8" s="5" t="inlineStr">
        <is>
          <t>₽</t>
        </is>
      </c>
      <c r="D8" s="7" t="n">
        <v>300000</v>
      </c>
      <c r="E8" s="5" t="n"/>
      <c r="F8" s="5" t="n"/>
      <c r="G8" s="5" t="inlineStr">
        <is>
          <t>оценка</t>
        </is>
      </c>
      <c r="H8" s="5" t="inlineStr">
        <is>
          <t>паспорт, п. 9: 150–500 тыс. ₽; у интеграторов RAG-ассистент — 350–800 тыс. ₽ (wehaveidea.ru)</t>
        </is>
      </c>
    </row>
    <row r="9">
      <c r="A9" s="5" t="inlineStr">
        <is>
          <t>sub_dept</t>
        </is>
      </c>
      <c r="B9" s="5" t="inlineStr">
        <is>
          <t>Подписка «Отдел» (до 50 пользователей)</t>
        </is>
      </c>
      <c r="C9" s="5" t="inlineStr">
        <is>
          <t>₽ в год</t>
        </is>
      </c>
      <c r="D9" s="7" t="n">
        <v>300000</v>
      </c>
      <c r="E9" s="5" t="n"/>
      <c r="F9" s="5" t="n"/>
      <c r="G9" s="5" t="inlineStr">
        <is>
          <t>оценка</t>
        </is>
      </c>
      <c r="H9" s="5" t="inlineStr">
        <is>
          <t>паспорт, п. 9</t>
        </is>
      </c>
    </row>
    <row r="10">
      <c r="A10" s="5" t="inlineStr">
        <is>
          <t>sub_ent</t>
        </is>
      </c>
      <c r="B10" s="5" t="inlineStr">
        <is>
          <t>Подписка «Предприятие» (до 200 пользователей)</t>
        </is>
      </c>
      <c r="C10" s="5" t="inlineStr">
        <is>
          <t>₽ в год</t>
        </is>
      </c>
      <c r="D10" s="7" t="n">
        <v>600000</v>
      </c>
      <c r="E10" s="5" t="n"/>
      <c r="F10" s="5" t="n"/>
      <c r="G10" s="5" t="inlineStr">
        <is>
          <t>оценка</t>
        </is>
      </c>
      <c r="H10" s="5" t="inlineStr">
        <is>
          <t>паспорт, п. 9</t>
        </is>
      </c>
    </row>
    <row r="11">
      <c r="A11" s="5" t="inlineStr">
        <is>
          <t>ent_share</t>
        </is>
      </c>
      <c r="B11" s="5" t="inlineStr">
        <is>
          <t>Доля клиентов на «Предприятии»</t>
        </is>
      </c>
      <c r="C11" s="5" t="inlineStr">
        <is>
          <t>доля</t>
        </is>
      </c>
      <c r="D11" s="8" t="n">
        <v>0.3</v>
      </c>
      <c r="E11" s="5" t="n"/>
      <c r="F11" s="5" t="n"/>
      <c r="G11" s="5" t="inlineStr">
        <is>
          <t>оценка</t>
        </is>
      </c>
      <c r="H11" s="5" t="inlineStr">
        <is>
          <t>проверить на продажах</t>
        </is>
      </c>
    </row>
    <row r="12">
      <c r="A12" s="5" t="inlineStr">
        <is>
          <t>module_tkp</t>
        </is>
      </c>
      <c r="B12" s="5" t="inlineStr">
        <is>
          <t>Модуль «ТКП и продажи» (реестр ТКП, бланк, почта, аналитика спроса)</t>
        </is>
      </c>
      <c r="C12" s="5" t="inlineStr">
        <is>
          <t>₽ в год</t>
        </is>
      </c>
      <c r="D12" s="7" t="n">
        <v>120000</v>
      </c>
      <c r="E12" s="5" t="n"/>
      <c r="F12" s="5" t="n"/>
      <c r="G12" s="5" t="inlineStr">
        <is>
          <t>оценка</t>
        </is>
      </c>
      <c r="H12" s="5" t="inlineStr">
        <is>
          <t>паспорт: модули — от 100 тыс. ₽ в год</t>
        </is>
      </c>
    </row>
    <row r="13">
      <c r="A13" s="5" t="inlineStr">
        <is>
          <t>module_tkp_share</t>
        </is>
      </c>
      <c r="B13" s="5" t="inlineStr">
        <is>
          <t>Доля клиентов с модулем «ТКП и продажи»</t>
        </is>
      </c>
      <c r="C13" s="5" t="inlineStr">
        <is>
          <t>доля</t>
        </is>
      </c>
      <c r="D13" s="8" t="n">
        <v>0.6</v>
      </c>
      <c r="E13" s="5" t="n"/>
      <c r="F13" s="5" t="n"/>
      <c r="G13" s="5" t="inlineStr">
        <is>
          <t>оценка</t>
        </is>
      </c>
      <c r="H13" s="5" t="inlineStr"/>
    </row>
    <row r="14">
      <c r="A14" s="5" t="inlineStr">
        <is>
          <t>module_1c</t>
        </is>
      </c>
      <c r="B14" s="5" t="inlineStr">
        <is>
          <t>Модуль «1С» (цены и остатки, учёт только на чтение)</t>
        </is>
      </c>
      <c r="C14" s="5" t="inlineStr">
        <is>
          <t>₽ в год</t>
        </is>
      </c>
      <c r="D14" s="7" t="n">
        <v>100000</v>
      </c>
      <c r="E14" s="5" t="n"/>
      <c r="F14" s="5" t="n"/>
      <c r="G14" s="5" t="inlineStr">
        <is>
          <t>оценка</t>
        </is>
      </c>
      <c r="H14" s="5" t="inlineStr"/>
    </row>
    <row r="15">
      <c r="A15" s="5" t="inlineStr">
        <is>
          <t>module_1c_share</t>
        </is>
      </c>
      <c r="B15" s="5" t="inlineStr">
        <is>
          <t>Доля клиентов с модулем «1С»</t>
        </is>
      </c>
      <c r="C15" s="5" t="inlineStr">
        <is>
          <t>доля</t>
        </is>
      </c>
      <c r="D15" s="8" t="n">
        <v>0.3</v>
      </c>
      <c r="E15" s="5" t="n"/>
      <c r="F15" s="5" t="n"/>
      <c r="G15" s="5" t="inlineStr">
        <is>
          <t>оценка</t>
        </is>
      </c>
      <c r="H15" s="5" t="inlineStr"/>
    </row>
    <row r="16">
      <c r="A16" s="5" t="inlineStr">
        <is>
          <t>first_year_share</t>
        </is>
      </c>
      <c r="B16" s="5" t="inlineStr">
        <is>
          <t>Доля годовой подписки в год подписания</t>
        </is>
      </c>
      <c r="C16" s="5" t="inlineStr">
        <is>
          <t>доля</t>
        </is>
      </c>
      <c r="D16" s="8" t="n">
        <v>0.5</v>
      </c>
      <c r="E16" s="5" t="n"/>
      <c r="F16" s="5" t="n"/>
      <c r="G16" s="5" t="inlineStr">
        <is>
          <t>оценка</t>
        </is>
      </c>
      <c r="H16" s="5" t="inlineStr">
        <is>
          <t>подписание в среднем в середине года</t>
        </is>
      </c>
    </row>
    <row r="17">
      <c r="A17" s="5" t="inlineStr">
        <is>
          <t>price_index</t>
        </is>
      </c>
      <c r="B17" s="5" t="inlineStr">
        <is>
          <t>Индексация цен в год</t>
        </is>
      </c>
      <c r="C17" s="5" t="inlineStr">
        <is>
          <t>доля</t>
        </is>
      </c>
      <c r="D17" s="8" t="n">
        <v>0.05</v>
      </c>
      <c r="E17" s="5" t="n"/>
      <c r="F17" s="5" t="n"/>
      <c r="G17" s="5" t="inlineStr">
        <is>
          <t>оценка</t>
        </is>
      </c>
      <c r="H17" s="5" t="inlineStr">
        <is>
          <t>ниже инфляции — консервативно</t>
        </is>
      </c>
    </row>
    <row r="18">
      <c r="A18" s="5" t="inlineStr">
        <is>
          <t>services_price</t>
        </is>
      </c>
      <c r="B18" s="5" t="inlineStr">
        <is>
          <t>Услуги при внедрении: наполнение справочника параметров, интеграции, обучение</t>
        </is>
      </c>
      <c r="C18" s="5" t="inlineStr">
        <is>
          <t>₽ на клиента</t>
        </is>
      </c>
      <c r="D18" s="7" t="n">
        <v>100000</v>
      </c>
      <c r="E18" s="5" t="n"/>
      <c r="F18" s="5" t="n"/>
      <c r="G18" s="5" t="inlineStr">
        <is>
          <t>оценка</t>
        </is>
      </c>
      <c r="H18" s="5" t="inlineStr">
        <is>
          <t>слайд «Бизнес-модель»: настройка интеграций, новые источники, обучение</t>
        </is>
      </c>
    </row>
    <row r="19">
      <c r="A19" s="5" t="inlineStr">
        <is>
          <t>services_share</t>
        </is>
      </c>
      <c r="B19" s="5" t="inlineStr">
        <is>
          <t>Доля новых клиентов, покупающих услуги</t>
        </is>
      </c>
      <c r="C19" s="5" t="inlineStr">
        <is>
          <t>доля</t>
        </is>
      </c>
      <c r="D19" s="8" t="n">
        <v>0.6</v>
      </c>
      <c r="E19" s="5" t="n"/>
      <c r="F19" s="5" t="n"/>
      <c r="G19" s="5" t="inlineStr">
        <is>
          <t>оценка</t>
        </is>
      </c>
      <c r="H19" s="5" t="inlineStr"/>
    </row>
    <row r="20">
      <c r="A20" s="5" t="inlineStr">
        <is>
          <t>services_days</t>
        </is>
      </c>
      <c r="B20" s="5" t="inlineStr">
        <is>
          <t>Работа по услугам</t>
        </is>
      </c>
      <c r="C20" s="5" t="inlineStr">
        <is>
          <t>чел.-дн.</t>
        </is>
      </c>
      <c r="D20" s="7" t="n">
        <v>5</v>
      </c>
      <c r="E20" s="5" t="n"/>
      <c r="F20" s="5" t="n"/>
      <c r="G20" s="5" t="inlineStr">
        <is>
          <t>оценка</t>
        </is>
      </c>
      <c r="H20" s="5" t="inlineStr">
        <is>
          <t>справочник 3–10 дн. (trudoemkost)</t>
        </is>
      </c>
    </row>
    <row r="21">
      <c r="A21" s="5" t="n"/>
      <c r="B21" s="6" t="inlineStr">
        <is>
          <t>Клиент: затраты</t>
        </is>
      </c>
      <c r="C21" s="5" t="n"/>
      <c r="D21" s="5" t="n"/>
      <c r="E21" s="5" t="n"/>
      <c r="F21" s="5" t="n"/>
      <c r="G21" s="5" t="n"/>
      <c r="H21" s="5" t="n"/>
    </row>
    <row r="22">
      <c r="A22" s="5" t="inlineStr">
        <is>
          <t>impl_days</t>
        </is>
      </c>
      <c r="B22" s="5" t="inlineStr">
        <is>
          <t>Внедрение, чел.-дней</t>
        </is>
      </c>
      <c r="C22" s="5" t="inlineStr">
        <is>
          <t>чел.-дн.</t>
        </is>
      </c>
      <c r="D22" s="7" t="n">
        <v>9</v>
      </c>
      <c r="E22" s="5" t="n"/>
      <c r="F22" s="5" t="n"/>
      <c r="G22" s="5" t="inlineStr">
        <is>
          <t>оценка</t>
        </is>
      </c>
      <c r="H22" s="5" t="inlineStr">
        <is>
          <t>docs/ekonomika/trudoemkost.md: 7–11 чел.-дн.</t>
        </is>
      </c>
    </row>
    <row r="23">
      <c r="A23" s="5" t="inlineStr">
        <is>
          <t>first_factor</t>
        </is>
      </c>
      <c r="B23" s="5" t="inlineStr">
        <is>
          <t>Коэффициент для клиентов первого года (процесс не отработан)</t>
        </is>
      </c>
      <c r="C23" s="5" t="inlineStr">
        <is>
          <t>×</t>
        </is>
      </c>
      <c r="D23" s="9" t="n">
        <v>1.4</v>
      </c>
      <c r="E23" s="5" t="n"/>
      <c r="F23" s="5" t="n"/>
      <c r="G23" s="5" t="inlineStr">
        <is>
          <t>оценка</t>
        </is>
      </c>
      <c r="H23" s="5" t="inlineStr">
        <is>
          <t>trudoemkost.md: +30–50 %</t>
        </is>
      </c>
    </row>
    <row r="24">
      <c r="A24" s="5" t="inlineStr">
        <is>
          <t>support_hours</t>
        </is>
      </c>
      <c r="B24" s="5" t="inlineStr">
        <is>
          <t>Сопровождение, ч в месяц</t>
        </is>
      </c>
      <c r="C24" s="5" t="inlineStr">
        <is>
          <t>ч</t>
        </is>
      </c>
      <c r="D24" s="7" t="n">
        <v>4</v>
      </c>
      <c r="E24" s="5" t="n"/>
      <c r="F24" s="5" t="n"/>
      <c r="G24" s="5" t="inlineStr">
        <is>
          <t>оценка</t>
        </is>
      </c>
      <c r="H24" s="5" t="inlineStr">
        <is>
          <t>trudoemkost.md: 2–8 ч</t>
        </is>
      </c>
    </row>
    <row r="25">
      <c r="A25" s="5" t="inlineStr">
        <is>
          <t>travel</t>
        </is>
      </c>
      <c r="B25" s="5" t="inlineStr">
        <is>
          <t>Выезды на одно внедрение</t>
        </is>
      </c>
      <c r="C25" s="5" t="inlineStr">
        <is>
          <t>₽</t>
        </is>
      </c>
      <c r="D25" s="7" t="n">
        <v>20000</v>
      </c>
      <c r="E25" s="5" t="n"/>
      <c r="F25" s="5" t="n"/>
      <c r="G25" s="5" t="inlineStr">
        <is>
          <t>оценка</t>
        </is>
      </c>
      <c r="H25" s="5" t="inlineStr">
        <is>
          <t>концепция, 6.2: 10–30 тыс. ₽</t>
        </is>
      </c>
    </row>
    <row r="26">
      <c r="A26" s="5" t="inlineStr">
        <is>
          <t>presale_days</t>
        </is>
      </c>
      <c r="B26" s="5" t="inlineStr">
        <is>
          <t>Предпродажа на нового клиента (показ, встречи, ТКП)</t>
        </is>
      </c>
      <c r="C26" s="5" t="inlineStr">
        <is>
          <t>чел.-дн.</t>
        </is>
      </c>
      <c r="D26" s="7" t="n">
        <v>5</v>
      </c>
      <c r="E26" s="5" t="n"/>
      <c r="F26" s="5" t="n"/>
      <c r="G26" s="5" t="inlineStr">
        <is>
          <t>оценка</t>
        </is>
      </c>
      <c r="H26" s="5" t="inlineStr"/>
    </row>
    <row r="27">
      <c r="A27" s="5" t="inlineStr">
        <is>
          <t>pilot_days</t>
        </is>
      </c>
      <c r="B27" s="5" t="inlineStr">
        <is>
          <t>Пилот на нового клиента</t>
        </is>
      </c>
      <c r="C27" s="5" t="inlineStr">
        <is>
          <t>чел.-дн.</t>
        </is>
      </c>
      <c r="D27" s="7" t="n">
        <v>10</v>
      </c>
      <c r="E27" s="5" t="n"/>
      <c r="F27" s="5" t="n"/>
      <c r="G27" s="5" t="inlineStr">
        <is>
          <t>оценка</t>
        </is>
      </c>
      <c r="H27" s="5" t="inlineStr">
        <is>
          <t>пилот 1–2 месяца, замер «до / после»</t>
        </is>
      </c>
    </row>
    <row r="28">
      <c r="A28" s="5" t="inlineStr">
        <is>
          <t>channel_share</t>
        </is>
      </c>
      <c r="B28" s="5" t="inlineStr">
        <is>
          <t>Доля клиентов через интеграторов</t>
        </is>
      </c>
      <c r="C28" s="5" t="inlineStr">
        <is>
          <t>доля</t>
        </is>
      </c>
      <c r="D28" s="8" t="n">
        <v>0.5</v>
      </c>
      <c r="E28" s="5" t="n"/>
      <c r="F28" s="5" t="n"/>
      <c r="G28" s="5" t="inlineStr">
        <is>
          <t>оценка</t>
        </is>
      </c>
      <c r="H28" s="5" t="inlineStr">
        <is>
          <t>партнёр — интегратор, канал к его клиентам</t>
        </is>
      </c>
    </row>
    <row r="29">
      <c r="A29" s="5" t="inlineStr">
        <is>
          <t>commission</t>
        </is>
      </c>
      <c r="B29" s="5" t="inlineStr">
        <is>
          <t>Комиссия интегратора с подписки</t>
        </is>
      </c>
      <c r="C29" s="5" t="inlineStr">
        <is>
          <t>доля</t>
        </is>
      </c>
      <c r="D29" s="8" t="n">
        <v>0.25</v>
      </c>
      <c r="E29" s="5" t="n"/>
      <c r="F29" s="5" t="n"/>
      <c r="G29" s="5" t="inlineStr">
        <is>
          <t>оценка</t>
        </is>
      </c>
      <c r="H29" s="5" t="inlineStr">
        <is>
          <t>концепция: 20–30 %</t>
        </is>
      </c>
    </row>
    <row r="30">
      <c r="A30" s="5" t="inlineStr">
        <is>
          <t>churn|консервативный</t>
        </is>
      </c>
      <c r="B30" s="5" t="inlineStr">
        <is>
          <t>Отток подписок в год — консервативный</t>
        </is>
      </c>
      <c r="C30" s="5" t="inlineStr">
        <is>
          <t>доля</t>
        </is>
      </c>
      <c r="D30" s="8" t="n">
        <v>0.15</v>
      </c>
      <c r="E30" s="5" t="n"/>
      <c r="F30" s="5" t="n"/>
      <c r="G30" s="5" t="inlineStr">
        <is>
          <t>оценка</t>
        </is>
      </c>
      <c r="H30" s="5" t="inlineStr"/>
    </row>
    <row r="31">
      <c r="A31" s="5" t="inlineStr">
        <is>
          <t>churn|базовый</t>
        </is>
      </c>
      <c r="B31" s="5" t="inlineStr">
        <is>
          <t>Отток подписок в год — базовый</t>
        </is>
      </c>
      <c r="C31" s="5" t="inlineStr">
        <is>
          <t>доля</t>
        </is>
      </c>
      <c r="D31" s="8" t="n">
        <v>0.1</v>
      </c>
      <c r="E31" s="5" t="n"/>
      <c r="F31" s="5" t="n"/>
      <c r="G31" s="5" t="inlineStr">
        <is>
          <t>оценка</t>
        </is>
      </c>
      <c r="H31" s="5" t="inlineStr"/>
    </row>
    <row r="32">
      <c r="A32" s="5" t="inlineStr">
        <is>
          <t>churn|оптимистичный</t>
        </is>
      </c>
      <c r="B32" s="5" t="inlineStr">
        <is>
          <t>Отток подписок в год — оптимистичный</t>
        </is>
      </c>
      <c r="C32" s="5" t="inlineStr">
        <is>
          <t>доля</t>
        </is>
      </c>
      <c r="D32" s="8" t="n">
        <v>0.05</v>
      </c>
      <c r="E32" s="5" t="n"/>
      <c r="F32" s="5" t="n"/>
      <c r="G32" s="5" t="inlineStr">
        <is>
          <t>оценка</t>
        </is>
      </c>
      <c r="H32" s="5" t="inlineStr"/>
    </row>
    <row r="33">
      <c r="A33" s="5" t="n"/>
      <c r="B33" s="6" t="inlineStr">
        <is>
          <t>Продажи</t>
        </is>
      </c>
      <c r="C33" s="5" t="n"/>
      <c r="D33" s="5" t="n"/>
      <c r="E33" s="5" t="n"/>
      <c r="F33" s="5" t="n"/>
      <c r="G33" s="5" t="n"/>
      <c r="H33" s="5" t="n"/>
    </row>
    <row r="34">
      <c r="A34" s="5" t="inlineStr">
        <is>
          <t>new_clients|консервативный</t>
        </is>
      </c>
      <c r="B34" s="5" t="inlineStr">
        <is>
          <t>Новых клиентов в год — консервативный</t>
        </is>
      </c>
      <c r="C34" s="5" t="inlineStr">
        <is>
          <t>клиентов</t>
        </is>
      </c>
      <c r="D34" s="7" t="n">
        <v>1</v>
      </c>
      <c r="E34" s="7" t="n">
        <v>3</v>
      </c>
      <c r="F34" s="7" t="n">
        <v>7</v>
      </c>
      <c r="G34" s="5" t="inlineStr">
        <is>
          <t>оценка</t>
        </is>
      </c>
      <c r="H34" s="5" t="inlineStr">
        <is>
          <t>базовый — план паспорта, п. 24: 2 + 5 + 12</t>
        </is>
      </c>
    </row>
    <row r="35">
      <c r="A35" s="5" t="inlineStr">
        <is>
          <t>new_clients|базовый</t>
        </is>
      </c>
      <c r="B35" s="5" t="inlineStr">
        <is>
          <t>Новых клиентов в год — базовый</t>
        </is>
      </c>
      <c r="C35" s="5" t="inlineStr">
        <is>
          <t>клиентов</t>
        </is>
      </c>
      <c r="D35" s="7" t="n">
        <v>2</v>
      </c>
      <c r="E35" s="7" t="n">
        <v>5</v>
      </c>
      <c r="F35" s="7" t="n">
        <v>12</v>
      </c>
      <c r="G35" s="5" t="inlineStr">
        <is>
          <t>оценка</t>
        </is>
      </c>
      <c r="H35" s="5" t="inlineStr">
        <is>
          <t>базовый — план паспорта, п. 24: 2 + 5 + 12</t>
        </is>
      </c>
    </row>
    <row r="36">
      <c r="A36" s="5" t="inlineStr">
        <is>
          <t>new_clients|оптимистичный</t>
        </is>
      </c>
      <c r="B36" s="5" t="inlineStr">
        <is>
          <t>Новых клиентов в год — оптимистичный</t>
        </is>
      </c>
      <c r="C36" s="5" t="inlineStr">
        <is>
          <t>клиентов</t>
        </is>
      </c>
      <c r="D36" s="7" t="n">
        <v>3</v>
      </c>
      <c r="E36" s="7" t="n">
        <v>8</v>
      </c>
      <c r="F36" s="7" t="n">
        <v>18</v>
      </c>
      <c r="G36" s="5" t="inlineStr">
        <is>
          <t>оценка</t>
        </is>
      </c>
      <c r="H36" s="5" t="inlineStr">
        <is>
          <t>базовый — план паспорта, п. 24: 2 + 5 + 12</t>
        </is>
      </c>
    </row>
    <row r="37">
      <c r="A37" s="5" t="inlineStr">
        <is>
          <t>pilots|консервативный</t>
        </is>
      </c>
      <c r="B37" s="5" t="inlineStr">
        <is>
          <t>Пилотов в год (засчитываются во внедрение) — консервативный</t>
        </is>
      </c>
      <c r="C37" s="5" t="inlineStr">
        <is>
          <t>пилотов</t>
        </is>
      </c>
      <c r="D37" s="7" t="n">
        <v>1</v>
      </c>
      <c r="E37" s="7" t="n">
        <v>2</v>
      </c>
      <c r="F37" s="7" t="n">
        <v>3</v>
      </c>
      <c r="G37" s="5" t="inlineStr">
        <is>
          <t>оценка</t>
        </is>
      </c>
      <c r="H37" s="5" t="inlineStr">
        <is>
          <t>половина пилотов переходит во внедрение</t>
        </is>
      </c>
    </row>
    <row r="38">
      <c r="A38" s="5" t="inlineStr">
        <is>
          <t>pilots|базовый</t>
        </is>
      </c>
      <c r="B38" s="5" t="inlineStr">
        <is>
          <t>Пилотов в год (засчитываются во внедрение) — базовый</t>
        </is>
      </c>
      <c r="C38" s="5" t="inlineStr">
        <is>
          <t>пилотов</t>
        </is>
      </c>
      <c r="D38" s="7" t="n">
        <v>1</v>
      </c>
      <c r="E38" s="7" t="n">
        <v>3</v>
      </c>
      <c r="F38" s="7" t="n">
        <v>6</v>
      </c>
      <c r="G38" s="5" t="inlineStr">
        <is>
          <t>оценка</t>
        </is>
      </c>
      <c r="H38" s="5" t="inlineStr">
        <is>
          <t>половина пилотов переходит во внедрение</t>
        </is>
      </c>
    </row>
    <row r="39">
      <c r="A39" s="5" t="inlineStr">
        <is>
          <t>pilots|оптимистичный</t>
        </is>
      </c>
      <c r="B39" s="5" t="inlineStr">
        <is>
          <t>Пилотов в год (засчитываются во внедрение) — оптимистичный</t>
        </is>
      </c>
      <c r="C39" s="5" t="inlineStr">
        <is>
          <t>пилотов</t>
        </is>
      </c>
      <c r="D39" s="7" t="n">
        <v>2</v>
      </c>
      <c r="E39" s="7" t="n">
        <v>4</v>
      </c>
      <c r="F39" s="7" t="n">
        <v>8</v>
      </c>
      <c r="G39" s="5" t="inlineStr">
        <is>
          <t>оценка</t>
        </is>
      </c>
      <c r="H39" s="5" t="inlineStr">
        <is>
          <t>половина пилотов переходит во внедрение</t>
        </is>
      </c>
    </row>
    <row r="40">
      <c r="A40" s="5" t="n"/>
      <c r="B40" s="6" t="inlineStr">
        <is>
          <t>Команда</t>
        </is>
      </c>
      <c r="C40" s="5" t="n"/>
      <c r="D40" s="5" t="n"/>
      <c r="E40" s="5" t="n"/>
      <c r="F40" s="5" t="n"/>
      <c r="G40" s="5" t="n"/>
      <c r="H40" s="5" t="n"/>
    </row>
    <row r="41">
      <c r="A41" s="5" t="inlineStr">
        <is>
          <t>fte_dev</t>
        </is>
      </c>
      <c r="B41" s="5" t="inlineStr">
        <is>
          <t>Разработка и качество, ставок</t>
        </is>
      </c>
      <c r="C41" s="5" t="inlineStr">
        <is>
          <t>ставок</t>
        </is>
      </c>
      <c r="D41" s="9" t="n">
        <v>1</v>
      </c>
      <c r="E41" s="9" t="n">
        <v>1.25</v>
      </c>
      <c r="F41" s="9" t="n">
        <v>2.5</v>
      </c>
      <c r="G41" s="5" t="inlineStr">
        <is>
          <t>оценка</t>
        </is>
      </c>
      <c r="H41" s="5" t="inlineStr"/>
    </row>
    <row r="42">
      <c r="A42" s="5" t="inlineStr">
        <is>
          <t>fte_impl</t>
        </is>
      </c>
      <c r="B42" s="5" t="inlineStr">
        <is>
          <t>Внедрение и поддержка, ставок</t>
        </is>
      </c>
      <c r="C42" s="5" t="inlineStr">
        <is>
          <t>ставок</t>
        </is>
      </c>
      <c r="D42" s="9" t="n">
        <v>0.25</v>
      </c>
      <c r="E42" s="9" t="n">
        <v>0.75</v>
      </c>
      <c r="F42" s="9" t="n">
        <v>1.5</v>
      </c>
      <c r="G42" s="5" t="inlineStr">
        <is>
          <t>оценка</t>
        </is>
      </c>
      <c r="H42" s="5" t="inlineStr">
        <is>
          <t>в 2027 г. внедряет вся команда: разработчики помогают</t>
        </is>
      </c>
    </row>
    <row r="43">
      <c r="A43" s="5" t="inlineStr">
        <is>
          <t>fte_sales</t>
        </is>
      </c>
      <c r="B43" s="5" t="inlineStr">
        <is>
          <t>Продажи и партнёры, ставок</t>
        </is>
      </c>
      <c r="C43" s="5" t="inlineStr">
        <is>
          <t>ставок</t>
        </is>
      </c>
      <c r="D43" s="9" t="n">
        <v>0.25</v>
      </c>
      <c r="E43" s="9" t="n">
        <v>0.5</v>
      </c>
      <c r="F43" s="9" t="n">
        <v>1</v>
      </c>
      <c r="G43" s="5" t="inlineStr">
        <is>
          <t>оценка</t>
        </is>
      </c>
      <c r="H43" s="5" t="inlineStr"/>
    </row>
    <row r="44">
      <c r="A44" s="5" t="inlineStr">
        <is>
          <t>fte_admin</t>
        </is>
      </c>
      <c r="B44" s="5" t="inlineStr">
        <is>
          <t>Экономика, договоры, отчётность, ставок</t>
        </is>
      </c>
      <c r="C44" s="5" t="inlineStr">
        <is>
          <t>ставок</t>
        </is>
      </c>
      <c r="D44" s="9" t="n">
        <v>0.25</v>
      </c>
      <c r="E44" s="9" t="n">
        <v>0.5</v>
      </c>
      <c r="F44" s="9" t="n">
        <v>0.75</v>
      </c>
      <c r="G44" s="5" t="inlineStr">
        <is>
          <t>оценка</t>
        </is>
      </c>
      <c r="H44" s="5" t="inlineStr"/>
    </row>
    <row r="45">
      <c r="A45" s="5" t="inlineStr">
        <is>
          <t>team_scale|консервативный</t>
        </is>
      </c>
      <c r="B45" s="5" t="inlineStr">
        <is>
          <t>Штат 2028–2029 по сценарию (найм — вслед за клиентами) — консервативный</t>
        </is>
      </c>
      <c r="C45" s="5" t="inlineStr">
        <is>
          <t>×</t>
        </is>
      </c>
      <c r="D45" s="9" t="n">
        <v>0.7</v>
      </c>
      <c r="E45" s="5" t="n"/>
      <c r="F45" s="5" t="n"/>
      <c r="G45" s="5" t="inlineStr">
        <is>
          <t>оценка</t>
        </is>
      </c>
      <c r="H45" s="5" t="inlineStr"/>
    </row>
    <row r="46">
      <c r="A46" s="5" t="inlineStr">
        <is>
          <t>team_scale|базовый</t>
        </is>
      </c>
      <c r="B46" s="5" t="inlineStr">
        <is>
          <t>Штат 2028–2029 по сценарию (найм — вслед за клиентами) — базовый</t>
        </is>
      </c>
      <c r="C46" s="5" t="inlineStr">
        <is>
          <t>×</t>
        </is>
      </c>
      <c r="D46" s="9" t="n">
        <v>1</v>
      </c>
      <c r="E46" s="5" t="n"/>
      <c r="F46" s="5" t="n"/>
      <c r="G46" s="5" t="inlineStr">
        <is>
          <t>оценка</t>
        </is>
      </c>
      <c r="H46" s="5" t="inlineStr"/>
    </row>
    <row r="47">
      <c r="A47" s="5" t="inlineStr">
        <is>
          <t>team_scale|оптимистичный</t>
        </is>
      </c>
      <c r="B47" s="5" t="inlineStr">
        <is>
          <t>Штат 2028–2029 по сценарию (найм — вслед за клиентами) — оптимистичный</t>
        </is>
      </c>
      <c r="C47" s="5" t="inlineStr">
        <is>
          <t>×</t>
        </is>
      </c>
      <c r="D47" s="9" t="n">
        <v>1.3</v>
      </c>
      <c r="E47" s="5" t="n"/>
      <c r="F47" s="5" t="n"/>
      <c r="G47" s="5" t="inlineStr">
        <is>
          <t>оценка</t>
        </is>
      </c>
      <c r="H47" s="5" t="inlineStr"/>
    </row>
    <row r="48">
      <c r="A48" s="5" t="inlineStr">
        <is>
          <t>sal_dev</t>
        </is>
      </c>
      <c r="B48" s="5" t="inlineStr">
        <is>
          <t>Оклад разработки</t>
        </is>
      </c>
      <c r="C48" s="5" t="inlineStr">
        <is>
          <t>₽ в месяц</t>
        </is>
      </c>
      <c r="D48" s="7" t="n">
        <v>60000</v>
      </c>
      <c r="E48" s="7" t="n">
        <v>85000</v>
      </c>
      <c r="F48" s="7" t="n">
        <v>100000</v>
      </c>
      <c r="G48" s="5" t="inlineStr">
        <is>
          <t>рынок</t>
        </is>
      </c>
      <c r="H48" s="5" t="inlineStr">
        <is>
          <t>Рязань: средняя зарплата 80 тыс. ₽ (март 2026, Росстат), инженеры — 81–113 тыс. ₽ (вакансии)</t>
        </is>
      </c>
    </row>
    <row r="49">
      <c r="A49" s="5" t="inlineStr">
        <is>
          <t>sal_impl</t>
        </is>
      </c>
      <c r="B49" s="5" t="inlineStr">
        <is>
          <t>Оклад внедрения</t>
        </is>
      </c>
      <c r="C49" s="5" t="inlineStr">
        <is>
          <t>₽ в месяц</t>
        </is>
      </c>
      <c r="D49" s="7" t="n">
        <v>60000</v>
      </c>
      <c r="E49" s="7" t="n">
        <v>70000</v>
      </c>
      <c r="F49" s="7" t="n">
        <v>80000</v>
      </c>
      <c r="G49" s="5" t="inlineStr">
        <is>
          <t>рынок</t>
        </is>
      </c>
      <c r="H49" s="5" t="inlineStr"/>
    </row>
    <row r="50">
      <c r="A50" s="5" t="inlineStr">
        <is>
          <t>sal_sales</t>
        </is>
      </c>
      <c r="B50" s="5" t="inlineStr">
        <is>
          <t>Оклад продаж</t>
        </is>
      </c>
      <c r="C50" s="5" t="inlineStr">
        <is>
          <t>₽ в месяц</t>
        </is>
      </c>
      <c r="D50" s="7" t="n">
        <v>50000</v>
      </c>
      <c r="E50" s="7" t="n">
        <v>65000</v>
      </c>
      <c r="F50" s="7" t="n">
        <v>75000</v>
      </c>
      <c r="G50" s="5" t="inlineStr">
        <is>
          <t>рынок</t>
        </is>
      </c>
      <c r="H50" s="5" t="inlineStr"/>
    </row>
    <row r="51">
      <c r="A51" s="5" t="inlineStr">
        <is>
          <t>sal_admin</t>
        </is>
      </c>
      <c r="B51" s="5" t="inlineStr">
        <is>
          <t>Оклад экономики и договоров</t>
        </is>
      </c>
      <c r="C51" s="5" t="inlineStr">
        <is>
          <t>₽ в месяц</t>
        </is>
      </c>
      <c r="D51" s="7" t="n">
        <v>50000</v>
      </c>
      <c r="E51" s="7" t="n">
        <v>55000</v>
      </c>
      <c r="F51" s="7" t="n">
        <v>65000</v>
      </c>
      <c r="G51" s="5" t="inlineStr">
        <is>
          <t>рынок</t>
        </is>
      </c>
      <c r="H51" s="5" t="inlineStr"/>
    </row>
    <row r="52">
      <c r="A52" s="5" t="inlineStr">
        <is>
          <t>contrib</t>
        </is>
      </c>
      <c r="B52" s="5" t="inlineStr">
        <is>
          <t>Страховые взносы</t>
        </is>
      </c>
      <c r="C52" s="5" t="inlineStr">
        <is>
          <t>доля</t>
        </is>
      </c>
      <c r="D52" s="8" t="n">
        <v>0.3</v>
      </c>
      <c r="E52" s="8" t="n">
        <v>0.15</v>
      </c>
      <c r="F52" s="8" t="n">
        <v>0.15</v>
      </c>
      <c r="G52" s="5" t="inlineStr">
        <is>
          <t>факт</t>
        </is>
      </c>
      <c r="H52" s="5" t="inlineStr">
        <is>
          <t>30 % — до аккредитации; ИТ-аккредитация с 2026 г.: 15 % в пределах базы (ст. 427 НК РФ)</t>
        </is>
      </c>
    </row>
    <row r="53">
      <c r="A53" s="5" t="inlineStr">
        <is>
          <t>work_days</t>
        </is>
      </c>
      <c r="B53" s="5" t="inlineStr">
        <is>
          <t>Рабочих дней в году</t>
        </is>
      </c>
      <c r="C53" s="5" t="inlineStr">
        <is>
          <t>дней</t>
        </is>
      </c>
      <c r="D53" s="7" t="n">
        <v>247</v>
      </c>
      <c r="E53" s="5" t="n"/>
      <c r="F53" s="5" t="n"/>
      <c r="G53" s="5" t="inlineStr">
        <is>
          <t>факт</t>
        </is>
      </c>
      <c r="H53" s="5" t="inlineStr">
        <is>
          <t>производственный календарь</t>
        </is>
      </c>
    </row>
    <row r="54">
      <c r="A54" s="5" t="n"/>
      <c r="B54" s="6" t="inlineStr">
        <is>
          <t>Прочие расходы</t>
        </is>
      </c>
      <c r="C54" s="5" t="n"/>
      <c r="D54" s="5" t="n"/>
      <c r="E54" s="5" t="n"/>
      <c r="F54" s="5" t="n"/>
      <c r="G54" s="5" t="n"/>
      <c r="H54" s="5" t="n"/>
    </row>
    <row r="55">
      <c r="A55" s="5" t="inlineStr">
        <is>
          <t>opex_accounting</t>
        </is>
      </c>
      <c r="B55" s="5" t="inlineStr">
        <is>
          <t>Бухгалтерия, банк</t>
        </is>
      </c>
      <c r="C55" s="5" t="inlineStr">
        <is>
          <t>₽ в год</t>
        </is>
      </c>
      <c r="D55" s="7" t="n">
        <v>60000</v>
      </c>
      <c r="E55" s="7" t="n">
        <v>120000</v>
      </c>
      <c r="F55" s="7" t="n">
        <v>150000</v>
      </c>
      <c r="G55" s="5" t="inlineStr">
        <is>
          <t>оценка</t>
        </is>
      </c>
      <c r="H55" s="5" t="inlineStr">
        <is>
          <t>концепция, 6.2: 60–150 тыс. ₽</t>
        </is>
      </c>
    </row>
    <row r="56">
      <c r="A56" s="5" t="inlineStr">
        <is>
          <t>opex_legal</t>
        </is>
      </c>
      <c r="B56" s="5" t="inlineStr">
        <is>
          <t>Юрист, договоры, регистрация ПО (пошлина 5 000 ₽)</t>
        </is>
      </c>
      <c r="C56" s="5" t="inlineStr">
        <is>
          <t>₽ в год</t>
        </is>
      </c>
      <c r="D56" s="7" t="n">
        <v>35000</v>
      </c>
      <c r="E56" s="7" t="n">
        <v>50000</v>
      </c>
      <c r="F56" s="7" t="n">
        <v>80000</v>
      </c>
      <c r="G56" s="5" t="inlineStr">
        <is>
          <t>оценка</t>
        </is>
      </c>
      <c r="H56" s="5" t="inlineStr">
        <is>
          <t>госпошлина — 389-ФЗ</t>
        </is>
      </c>
    </row>
    <row r="57">
      <c r="A57" s="5" t="inlineStr">
        <is>
          <t>opex_hardware</t>
        </is>
      </c>
      <c r="B57" s="5" t="inlineStr">
        <is>
          <t>Оборудование (ПК с видеокартой для показа и разработки)</t>
        </is>
      </c>
      <c r="C57" s="5" t="inlineStr">
        <is>
          <t>₽ в год</t>
        </is>
      </c>
      <c r="D57" s="7" t="n">
        <v>250000</v>
      </c>
      <c r="E57" s="7" t="n">
        <v>200000</v>
      </c>
      <c r="F57" s="7" t="n">
        <v>300000</v>
      </c>
      <c r="G57" s="5" t="inlineStr">
        <is>
          <t>рынок</t>
        </is>
      </c>
      <c r="H57" s="5" t="inlineStr">
        <is>
          <t>ПК с видеокартой 12 ГБ — 150–250 тыс. ₽</t>
        </is>
      </c>
    </row>
    <row r="58">
      <c r="A58" s="5" t="inlineStr">
        <is>
          <t>opex_marketing</t>
        </is>
      </c>
      <c r="B58" s="5" t="inlineStr">
        <is>
          <t>Продвижение: выставки, поездки, материалы</t>
        </is>
      </c>
      <c r="C58" s="5" t="inlineStr">
        <is>
          <t>₽ в год</t>
        </is>
      </c>
      <c r="D58" s="7" t="n">
        <v>100000</v>
      </c>
      <c r="E58" s="7" t="n">
        <v>300000</v>
      </c>
      <c r="F58" s="7" t="n">
        <v>500000</v>
      </c>
      <c r="G58" s="5" t="inlineStr">
        <is>
          <t>оценка</t>
        </is>
      </c>
      <c r="H58" s="5" t="inlineStr">
        <is>
          <t>концепция: 100–300 тыс. ₽</t>
        </is>
      </c>
    </row>
    <row r="59">
      <c r="A59" s="5" t="inlineStr">
        <is>
          <t>opex_office</t>
        </is>
      </c>
      <c r="B59" s="5" t="inlineStr">
        <is>
          <t>Офис (до 2029 — площадка акселератора и РГРТУ)</t>
        </is>
      </c>
      <c r="C59" s="5" t="inlineStr">
        <is>
          <t>₽ в год</t>
        </is>
      </c>
      <c r="D59" s="7" t="n">
        <v>0</v>
      </c>
      <c r="E59" s="7" t="n">
        <v>0</v>
      </c>
      <c r="F59" s="7" t="n">
        <v>360000</v>
      </c>
      <c r="G59" s="5" t="inlineStr">
        <is>
          <t>оценка</t>
        </is>
      </c>
      <c r="H59" s="5" t="inlineStr"/>
    </row>
    <row r="60">
      <c r="A60" s="5" t="inlineStr">
        <is>
          <t>opex_agpl</t>
        </is>
      </c>
      <c r="B60" s="5" t="inlineStr">
        <is>
          <t>PyMuPDF (AGPL): замена силами команды (8 чел.-дн. — в оплате труда)</t>
        </is>
      </c>
      <c r="C60" s="5" t="inlineStr">
        <is>
          <t>₽</t>
        </is>
      </c>
      <c r="D60" s="7" t="n">
        <v>0</v>
      </c>
      <c r="E60" s="7" t="n">
        <v>0</v>
      </c>
      <c r="F60" s="7" t="n">
        <v>0</v>
      </c>
      <c r="G60" s="5" t="inlineStr">
        <is>
          <t>оценка</t>
        </is>
      </c>
      <c r="H60" s="5" t="inlineStr">
        <is>
          <t>trudoemkost 2.1; коммерческая лицензия — риск, см. документ</t>
        </is>
      </c>
    </row>
    <row r="61">
      <c r="A61" s="5" t="inlineStr">
        <is>
          <t>opex_reserve</t>
        </is>
      </c>
      <c r="B61" s="5" t="inlineStr">
        <is>
          <t>Непредвиденные расходы</t>
        </is>
      </c>
      <c r="C61" s="5" t="inlineStr">
        <is>
          <t>доля прочих</t>
        </is>
      </c>
      <c r="D61" s="8" t="n">
        <v>0.1</v>
      </c>
      <c r="E61" s="5" t="n"/>
      <c r="F61" s="5" t="n"/>
      <c r="G61" s="5" t="inlineStr">
        <is>
          <t>оценка</t>
        </is>
      </c>
      <c r="H61" s="5" t="inlineStr"/>
    </row>
    <row r="62">
      <c r="A62" s="5" t="n"/>
      <c r="B62" s="6" t="inlineStr">
        <is>
          <t>Налоги и гранты</t>
        </is>
      </c>
      <c r="C62" s="5" t="n"/>
      <c r="D62" s="5" t="n"/>
      <c r="E62" s="5" t="n"/>
      <c r="F62" s="5" t="n"/>
      <c r="G62" s="5" t="n"/>
      <c r="H62" s="5" t="n"/>
    </row>
    <row r="63">
      <c r="A63" s="5" t="inlineStr">
        <is>
          <t>usn_rate</t>
        </is>
      </c>
      <c r="B63" s="5" t="inlineStr">
        <is>
          <t>УСН «доходы»</t>
        </is>
      </c>
      <c r="C63" s="5" t="inlineStr">
        <is>
          <t>доля</t>
        </is>
      </c>
      <c r="D63" s="8" t="n">
        <v>0.06</v>
      </c>
      <c r="E63" s="5" t="n"/>
      <c r="F63" s="5" t="n"/>
      <c r="G63" s="5" t="inlineStr">
        <is>
          <t>факт</t>
        </is>
      </c>
      <c r="H63" s="5" t="inlineStr">
        <is>
          <t>выручка ниже 20 млн ₽ — без НДС (ст. 145 НК РФ, порог 2026–2028)</t>
        </is>
      </c>
    </row>
    <row r="64">
      <c r="A64" s="5" t="inlineStr">
        <is>
          <t>grant|консервативный</t>
        </is>
      </c>
      <c r="B64" s="5" t="inlineStr">
        <is>
          <t>Гранты — консервативный</t>
        </is>
      </c>
      <c r="C64" s="5" t="inlineStr">
        <is>
          <t>₽</t>
        </is>
      </c>
      <c r="D64" s="7" t="n">
        <v>0</v>
      </c>
      <c r="E64" s="7" t="n">
        <v>0</v>
      </c>
      <c r="F64" s="7" t="n">
        <v>0</v>
      </c>
      <c r="G64" s="5" t="inlineStr">
        <is>
          <t>рынок</t>
        </is>
      </c>
      <c r="H64" s="5" t="inlineStr">
        <is>
          <t>ФСИ «Студенческий стартап» — 1 млн ₽; «УМНИК» — 500 тыс. ₽</t>
        </is>
      </c>
    </row>
    <row r="65">
      <c r="A65" s="5" t="inlineStr">
        <is>
          <t>grant|базовый</t>
        </is>
      </c>
      <c r="B65" s="5" t="inlineStr">
        <is>
          <t>Гранты — базовый</t>
        </is>
      </c>
      <c r="C65" s="5" t="inlineStr">
        <is>
          <t>₽</t>
        </is>
      </c>
      <c r="D65" s="7" t="n">
        <v>1000000</v>
      </c>
      <c r="E65" s="7" t="n">
        <v>0</v>
      </c>
      <c r="F65" s="7" t="n">
        <v>0</v>
      </c>
      <c r="G65" s="5" t="inlineStr">
        <is>
          <t>рынок</t>
        </is>
      </c>
      <c r="H65" s="5" t="inlineStr">
        <is>
          <t>ФСИ «Студенческий стартап» — 1 млн ₽; «УМНИК» — 500 тыс. ₽</t>
        </is>
      </c>
    </row>
    <row r="66">
      <c r="A66" s="5" t="inlineStr">
        <is>
          <t>grant|оптимистичный</t>
        </is>
      </c>
      <c r="B66" s="5" t="inlineStr">
        <is>
          <t>Гранты — оптимистичный</t>
        </is>
      </c>
      <c r="C66" s="5" t="inlineStr">
        <is>
          <t>₽</t>
        </is>
      </c>
      <c r="D66" s="7" t="n">
        <v>1000000</v>
      </c>
      <c r="E66" s="7" t="n">
        <v>500000</v>
      </c>
      <c r="F66" s="7" t="n">
        <v>0</v>
      </c>
      <c r="G66" s="5" t="inlineStr">
        <is>
          <t>рынок</t>
        </is>
      </c>
      <c r="H66" s="5" t="inlineStr">
        <is>
          <t>ФСИ «Студенческий стартап» — 1 млн ₽; «УМНИК» — 500 тыс. ₽</t>
        </is>
      </c>
    </row>
  </sheetData>
  <dataValidations count="1">
    <dataValidation sqref="D3" showDropDown="0" showInputMessage="0" showErrorMessage="0" allowBlank="0" type="list">
      <formula1>"консервативный,базовый,оптимистичный"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4" max="4"/>
    <col width="16" customWidth="1" min="5" max="5"/>
    <col width="16" customWidth="1" min="6" max="6"/>
  </cols>
  <sheetData>
    <row r="1">
      <c r="A1" s="1" t="inlineStr">
        <is>
          <t>План на 2027–2029 — сценарий выбирается на листе «Допущения»</t>
        </is>
      </c>
    </row>
    <row r="2">
      <c r="A2">
        <f>"Сценарий: "&amp;'Допущения'!$D$3</f>
        <v/>
      </c>
    </row>
    <row r="4">
      <c r="A4" s="2" t="inlineStr">
        <is>
          <t>Показатель</t>
        </is>
      </c>
      <c r="D4" s="4" t="n">
        <v>2027</v>
      </c>
      <c r="E4" s="4" t="n">
        <v>2028</v>
      </c>
      <c r="F4" s="4" t="n">
        <v>2029</v>
      </c>
    </row>
    <row r="5">
      <c r="A5" t="inlineStr">
        <is>
          <t>Новых клиентов</t>
        </is>
      </c>
      <c r="D5" s="10">
        <f>CHOOSE('Допущения'!$D$4,'Допущения'!$D$34,'Допущения'!$D$35,'Допущения'!$D$36)</f>
        <v/>
      </c>
      <c r="E5" s="10">
        <f>CHOOSE('Допущения'!$D$4,'Допущения'!$E$34,'Допущения'!$E$35,'Допущения'!$E$36)</f>
        <v/>
      </c>
      <c r="F5" s="10">
        <f>CHOOSE('Допущения'!$D$4,'Допущения'!$F$34,'Допущения'!$F$35,'Допущения'!$F$36)</f>
        <v/>
      </c>
    </row>
    <row r="6">
      <c r="A6" t="inlineStr">
        <is>
          <t>Отток подписок</t>
        </is>
      </c>
      <c r="D6" s="11">
        <f>CHOOSE('Допущения'!$D$4,'Допущения'!$D$30,'Допущения'!$D$31,'Допущения'!$D$32)</f>
        <v/>
      </c>
      <c r="E6" s="11">
        <f>CHOOSE('Допущения'!$D$4,'Допущения'!$D$30,'Допущения'!$D$31,'Допущения'!$D$32)</f>
        <v/>
      </c>
      <c r="F6" s="11">
        <f>CHOOSE('Допущения'!$D$4,'Допущения'!$D$30,'Допущения'!$D$31,'Допущения'!$D$32)</f>
        <v/>
      </c>
    </row>
    <row r="7">
      <c r="A7" t="inlineStr">
        <is>
          <t>Клиентов сохранилось с прошлого года</t>
        </is>
      </c>
      <c r="D7" s="10">
        <f>0</f>
        <v/>
      </c>
      <c r="E7" s="10">
        <f>D30*(1-E6)</f>
        <v/>
      </c>
      <c r="F7" s="10">
        <f>E30*(1-F6)</f>
        <v/>
      </c>
    </row>
    <row r="8">
      <c r="A8" t="inlineStr">
        <is>
          <t>Выручка с клиента в год</t>
        </is>
      </c>
      <c r="D8" s="12">
        <f>(('Допущения'!$D$9*(1-'Допущения'!$D$11)+'Допущения'!$D$10*'Допущения'!$D$11)+('Допущения'!$D$12*'Допущения'!$D$13+'Допущения'!$D$14*'Допущения'!$D$15))*(1+'Допущения'!$D$17)^0</f>
        <v/>
      </c>
      <c r="E8" s="12">
        <f>(('Допущения'!$D$9*(1-'Допущения'!$D$11)+'Допущения'!$D$10*'Допущения'!$D$11)+('Допущения'!$D$12*'Допущения'!$D$13+'Допущения'!$D$14*'Допущения'!$D$15))*(1+'Допущения'!$D$17)^1</f>
        <v/>
      </c>
      <c r="F8" s="12">
        <f>(('Допущения'!$D$9*(1-'Допущения'!$D$11)+'Допущения'!$D$10*'Допущения'!$D$11)+('Допущения'!$D$12*'Допущения'!$D$13+'Допущения'!$D$14*'Допущения'!$D$15))*(1+'Допущения'!$D$17)^2</f>
        <v/>
      </c>
    </row>
    <row r="9">
      <c r="A9" t="inlineStr">
        <is>
          <t>Выручка: подписка и модули</t>
        </is>
      </c>
      <c r="D9" s="12">
        <f>D7*D8+D5*D8*'Допущения'!$D$16</f>
        <v/>
      </c>
      <c r="E9" s="12">
        <f>E7*E8+E5*E8*'Допущения'!$D$16</f>
        <v/>
      </c>
      <c r="F9" s="12">
        <f>F7*F8+F5*F8*'Допущения'!$D$16</f>
        <v/>
      </c>
    </row>
    <row r="10">
      <c r="A10" t="inlineStr">
        <is>
          <t>Выручка: внедрение</t>
        </is>
      </c>
      <c r="D10" s="12">
        <f>D5*'Допущения'!$D$8*(1+'Допущения'!$D$17)^0</f>
        <v/>
      </c>
      <c r="E10" s="12">
        <f>E5*'Допущения'!$D$8*(1+'Допущения'!$D$17)^1</f>
        <v/>
      </c>
      <c r="F10" s="12">
        <f>F5*'Допущения'!$D$8*(1+'Допущения'!$D$17)^2</f>
        <v/>
      </c>
    </row>
    <row r="11">
      <c r="A11" t="inlineStr">
        <is>
          <t>Выручка: услуги</t>
        </is>
      </c>
      <c r="D11" s="12">
        <f>D5*'Допущения'!$D$19*'Допущения'!$D$18*(1+'Допущения'!$D$17)^0</f>
        <v/>
      </c>
      <c r="E11" s="12">
        <f>E5*'Допущения'!$D$19*'Допущения'!$D$18*(1+'Допущения'!$D$17)^1</f>
        <v/>
      </c>
      <c r="F11" s="12">
        <f>F5*'Допущения'!$D$19*'Допущения'!$D$18*(1+'Допущения'!$D$17)^2</f>
        <v/>
      </c>
    </row>
    <row r="12">
      <c r="A12" s="13" t="inlineStr">
        <is>
          <t>Выручка</t>
        </is>
      </c>
      <c r="D12" s="14">
        <f>D9+D10+D11</f>
        <v/>
      </c>
      <c r="E12" s="14">
        <f>E9+E10+E11</f>
        <v/>
      </c>
      <c r="F12" s="14">
        <f>F9+F10+F11</f>
        <v/>
      </c>
    </row>
    <row r="13">
      <c r="A13" t="inlineStr">
        <is>
          <t>Комиссия интеграторам</t>
        </is>
      </c>
      <c r="D13" s="12">
        <f>D9*'Допущения'!$D$28*'Допущения'!$D$29</f>
        <v/>
      </c>
      <c r="E13" s="12">
        <f>E9*'Допущения'!$D$28*'Допущения'!$D$29</f>
        <v/>
      </c>
      <c r="F13" s="12">
        <f>F9*'Допущения'!$D$28*'Допущения'!$D$29</f>
        <v/>
      </c>
    </row>
    <row r="14">
      <c r="A14" t="inlineStr">
        <is>
          <t>Выезды</t>
        </is>
      </c>
      <c r="D14" s="12">
        <f>D5*'Допущения'!$D$25</f>
        <v/>
      </c>
      <c r="E14" s="12">
        <f>E5*'Допущения'!$D$25</f>
        <v/>
      </c>
      <c r="F14" s="12">
        <f>F5*'Допущения'!$D$25</f>
        <v/>
      </c>
    </row>
    <row r="15">
      <c r="A15" t="inlineStr">
        <is>
          <t>Штат (масштаб)</t>
        </is>
      </c>
      <c r="D15" s="10">
        <f>1</f>
        <v/>
      </c>
      <c r="E15" s="10">
        <f>CHOOSE('Допущения'!$D$4,'Допущения'!$D$45,'Допущения'!$D$46,'Допущения'!$D$47)</f>
        <v/>
      </c>
      <c r="F15" s="10">
        <f>CHOOSE('Допущения'!$D$4,'Допущения'!$D$45,'Допущения'!$D$46,'Допущения'!$D$47)</f>
        <v/>
      </c>
    </row>
    <row r="16">
      <c r="A16" t="inlineStr">
        <is>
          <t>ФОТ: разработка</t>
        </is>
      </c>
      <c r="D16" s="12">
        <f>'Допущения'!$D$41*D15*'Допущения'!$D$48*12*(1+'Допущения'!$D$52)</f>
        <v/>
      </c>
      <c r="E16" s="12">
        <f>'Допущения'!$E$41*E15*'Допущения'!$E$48*12*(1+'Допущения'!$E$52)</f>
        <v/>
      </c>
      <c r="F16" s="12">
        <f>'Допущения'!$F$41*F15*'Допущения'!$F$48*12*(1+'Допущения'!$F$52)</f>
        <v/>
      </c>
    </row>
    <row r="17">
      <c r="A17" t="inlineStr">
        <is>
          <t>ФОТ: внедрение и поддержка</t>
        </is>
      </c>
      <c r="D17" s="12">
        <f>'Допущения'!$D$42*D15*'Допущения'!$D$49*12*(1+'Допущения'!$D$52)</f>
        <v/>
      </c>
      <c r="E17" s="12">
        <f>'Допущения'!$E$42*E15*'Допущения'!$E$49*12*(1+'Допущения'!$E$52)</f>
        <v/>
      </c>
      <c r="F17" s="12">
        <f>'Допущения'!$F$42*F15*'Допущения'!$F$49*12*(1+'Допущения'!$F$52)</f>
        <v/>
      </c>
    </row>
    <row r="18">
      <c r="A18" t="inlineStr">
        <is>
          <t>ФОТ: продажи</t>
        </is>
      </c>
      <c r="D18" s="12">
        <f>'Допущения'!$D$43*D15*'Допущения'!$D$50*12*(1+'Допущения'!$D$52)</f>
        <v/>
      </c>
      <c r="E18" s="12">
        <f>'Допущения'!$E$43*E15*'Допущения'!$E$50*12*(1+'Допущения'!$E$52)</f>
        <v/>
      </c>
      <c r="F18" s="12">
        <f>'Допущения'!$F$43*F15*'Допущения'!$F$50*12*(1+'Допущения'!$F$52)</f>
        <v/>
      </c>
    </row>
    <row r="19">
      <c r="A19" t="inlineStr">
        <is>
          <t>ФОТ: экономика и договоры</t>
        </is>
      </c>
      <c r="D19" s="12">
        <f>'Допущения'!$D$44*D15*'Допущения'!$D$51*12*(1+'Допущения'!$D$52)</f>
        <v/>
      </c>
      <c r="E19" s="12">
        <f>'Допущения'!$E$44*E15*'Допущения'!$E$51*12*(1+'Допущения'!$E$52)</f>
        <v/>
      </c>
      <c r="F19" s="12">
        <f>'Допущения'!$F$44*F15*'Допущения'!$F$51*12*(1+'Допущения'!$F$52)</f>
        <v/>
      </c>
    </row>
    <row r="20">
      <c r="A20" t="inlineStr">
        <is>
          <t>Себестоимость</t>
        </is>
      </c>
      <c r="D20" s="12">
        <f>D13+D14+D17</f>
        <v/>
      </c>
      <c r="E20" s="12">
        <f>E13+E14+E17</f>
        <v/>
      </c>
      <c r="F20" s="12">
        <f>F13+F14+F17</f>
        <v/>
      </c>
    </row>
    <row r="21">
      <c r="A21" s="13" t="inlineStr">
        <is>
          <t>Валовая прибыль</t>
        </is>
      </c>
      <c r="D21" s="14">
        <f>D12-D20</f>
        <v/>
      </c>
      <c r="E21" s="14">
        <f>E12-E20</f>
        <v/>
      </c>
      <c r="F21" s="14">
        <f>F12-F20</f>
        <v/>
      </c>
    </row>
    <row r="22">
      <c r="A22" t="inlineStr">
        <is>
          <t>Прочие расходы</t>
        </is>
      </c>
      <c r="D22" s="12">
        <f>('Допущения'!$D$55+'Допущения'!$D$56+'Допущения'!$D$57+'Допущения'!$D$58+'Допущения'!$D$59+'Допущения'!$D$60)*(1+'Допущения'!$D$61)</f>
        <v/>
      </c>
      <c r="E22" s="12">
        <f>('Допущения'!$E$55+'Допущения'!$E$56+'Допущения'!$E$57+'Допущения'!$E$58+'Допущения'!$E$59+'Допущения'!$E$60)*(1+'Допущения'!$D$61)</f>
        <v/>
      </c>
      <c r="F22" s="12">
        <f>('Допущения'!$F$55+'Допущения'!$F$56+'Допущения'!$F$57+'Допущения'!$F$58+'Допущения'!$F$59+'Допущения'!$F$60)*(1+'Допущения'!$D$61)</f>
        <v/>
      </c>
    </row>
    <row r="23">
      <c r="A23" t="inlineStr">
        <is>
          <t>Операционные расходы</t>
        </is>
      </c>
      <c r="D23" s="12">
        <f>D16+D18+D19+D22</f>
        <v/>
      </c>
      <c r="E23" s="12">
        <f>E16+E18+E19+E22</f>
        <v/>
      </c>
      <c r="F23" s="12">
        <f>F16+F18+F19+F22</f>
        <v/>
      </c>
    </row>
    <row r="24">
      <c r="A24" s="13" t="inlineStr">
        <is>
          <t>EBITDA</t>
        </is>
      </c>
      <c r="D24" s="14">
        <f>D21-D23</f>
        <v/>
      </c>
      <c r="E24" s="14">
        <f>E21-E23</f>
        <v/>
      </c>
      <c r="F24" s="14">
        <f>F21-F23</f>
        <v/>
      </c>
    </row>
    <row r="25">
      <c r="A25" t="inlineStr">
        <is>
          <t>Страховые взносы в ФОТ</t>
        </is>
      </c>
      <c r="D25" s="12">
        <f>(D16+D17+D18+D19)*'Допущения'!$D$52/(1+'Допущения'!$D$52)</f>
        <v/>
      </c>
      <c r="E25" s="12">
        <f>(E16+E17+E18+E19)*'Допущения'!$E$52/(1+'Допущения'!$E$52)</f>
        <v/>
      </c>
      <c r="F25" s="12">
        <f>(F16+F17+F18+F19)*'Допущения'!$F$52/(1+'Допущения'!$F$52)</f>
        <v/>
      </c>
    </row>
    <row r="26">
      <c r="A26" t="inlineStr">
        <is>
          <t>Налог (УСН 6 % с вычетом взносов)</t>
        </is>
      </c>
      <c r="D26" s="12">
        <f>MAX(D12*'Допущения'!$D$63-D25,D12*'Допущения'!$D$63/2)</f>
        <v/>
      </c>
      <c r="E26" s="12">
        <f>MAX(E12*'Допущения'!$D$63-E25,E12*'Допущения'!$D$63/2)</f>
        <v/>
      </c>
      <c r="F26" s="12">
        <f>MAX(F12*'Допущения'!$D$63-F25,F12*'Допущения'!$D$63/2)</f>
        <v/>
      </c>
    </row>
    <row r="27">
      <c r="A27" t="inlineStr">
        <is>
          <t>Гранты</t>
        </is>
      </c>
      <c r="D27" s="12">
        <f>CHOOSE('Допущения'!$D$4,'Допущения'!$D$64,'Допущения'!$D$65,'Допущения'!$D$66)</f>
        <v/>
      </c>
      <c r="E27" s="12">
        <f>CHOOSE('Допущения'!$D$4,'Допущения'!$E$64,'Допущения'!$E$65,'Допущения'!$E$66)</f>
        <v/>
      </c>
      <c r="F27" s="12">
        <f>CHOOSE('Допущения'!$D$4,'Допущения'!$F$64,'Допущения'!$F$65,'Допущения'!$F$66)</f>
        <v/>
      </c>
    </row>
    <row r="28">
      <c r="A28" t="inlineStr">
        <is>
          <t>Денежный поток</t>
        </is>
      </c>
      <c r="D28" s="12">
        <f>D24-D26+D27</f>
        <v/>
      </c>
      <c r="E28" s="12">
        <f>E24-E26+E27</f>
        <v/>
      </c>
      <c r="F28" s="12">
        <f>F24-F26+F27</f>
        <v/>
      </c>
    </row>
    <row r="29">
      <c r="A29" s="13" t="inlineStr">
        <is>
          <t>Деньги накопленно</t>
        </is>
      </c>
      <c r="D29" s="14">
        <f>D28</f>
        <v/>
      </c>
      <c r="E29" s="14">
        <f>E28+D29</f>
        <v/>
      </c>
      <c r="F29" s="14">
        <f>F28+E29</f>
        <v/>
      </c>
    </row>
    <row r="30">
      <c r="A30" t="inlineStr">
        <is>
          <t>Активных клиентов на конец года</t>
        </is>
      </c>
      <c r="D30" s="10">
        <f>D7+D5</f>
        <v/>
      </c>
      <c r="E30" s="10">
        <f>E7+E5</f>
        <v/>
      </c>
      <c r="F30" s="10">
        <f>F7+F5</f>
        <v/>
      </c>
    </row>
    <row r="31">
      <c r="A31" t="inlineStr">
        <is>
          <t>Загрузка внедрения</t>
        </is>
      </c>
      <c r="D31" s="11">
        <f>(D5*'Допущения'!$D$22*'Допущения'!$D$23+D5*'Допущения'!$D$19*'Допущения'!$D$20+D30*'Допущения'!$D$24*12/8)/('Допущения'!$D$42*D15*'Допущения'!$D$53*0.8)</f>
        <v/>
      </c>
      <c r="E31" s="11">
        <f>(E5*'Допущения'!$D$22*1+E5*'Допущения'!$D$19*'Допущения'!$D$20+E30*'Допущения'!$D$24*12/8)/('Допущения'!$E$42*E15*'Допущения'!$D$53*0.8)</f>
        <v/>
      </c>
      <c r="F31" s="11">
        <f>(F5*'Допущения'!$D$22*1+F5*'Допущения'!$D$19*'Допущения'!$D$20+F30*'Допущения'!$D$24*12/8)/('Допущения'!$F$42*F15*'Допущения'!$D$53*0.8)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Экономика одного клиента — маржинальная, цены и ставки 2028 г.</t>
        </is>
      </c>
    </row>
    <row r="3">
      <c r="A3" t="inlineStr">
        <is>
          <t>Выручка с клиента в год (2028)</t>
        </is>
      </c>
      <c r="B3" s="12">
        <f>'План'!E8</f>
        <v/>
      </c>
    </row>
    <row r="4">
      <c r="A4" t="inlineStr">
        <is>
          <t>Стоимость чел.-дня внедрения</t>
        </is>
      </c>
      <c r="B4" s="12">
        <f>'Допущения'!$E$49*12*(1+'Допущения'!$E$52)/'Допущения'!$D$53</f>
        <v/>
      </c>
    </row>
    <row r="5">
      <c r="A5" t="inlineStr">
        <is>
          <t>Выручка первого года</t>
        </is>
      </c>
      <c r="B5" s="12">
        <f>'Допущения'!$D$8*(1+'Допущения'!$D$17)^1+B3*'Допущения'!$D$16+'Допущения'!$D$19*'Допущения'!$D$18*(1+'Допущения'!$D$17)^1</f>
        <v/>
      </c>
    </row>
    <row r="6">
      <c r="A6" t="inlineStr">
        <is>
          <t>Прямые затраты первого года</t>
        </is>
      </c>
      <c r="B6" s="12">
        <f>('Допущения'!$D$22+'Допущения'!$D$19*'Допущения'!$D$20)*B4+'Допущения'!$D$25+'Допущения'!$D$24*12/8*B4*'Допущения'!$D$16+B3*'Допущения'!$D$16*'Допущения'!$D$28*'Допущения'!$D$29</f>
        <v/>
      </c>
    </row>
    <row r="7">
      <c r="A7" t="inlineStr">
        <is>
          <t>Маржа первого года</t>
        </is>
      </c>
      <c r="B7" s="12">
        <f>B5-B6</f>
        <v/>
      </c>
    </row>
    <row r="8">
      <c r="A8" t="inlineStr">
        <is>
          <t>Маржа первого года, %</t>
        </is>
      </c>
      <c r="B8" s="11">
        <f>B7/B5</f>
        <v/>
      </c>
    </row>
    <row r="9">
      <c r="A9" t="inlineStr">
        <is>
          <t>Маржа со второго года</t>
        </is>
      </c>
      <c r="B9" s="12">
        <f>B3*(1-'Допущения'!$D$28*'Допущения'!$D$29)-'Допущения'!$D$24*12/8*B4</f>
        <v/>
      </c>
    </row>
    <row r="10">
      <c r="A10" t="inlineStr">
        <is>
          <t>Маржа со второго года, %</t>
        </is>
      </c>
      <c r="B10" s="11">
        <f>B9/B3</f>
        <v/>
      </c>
    </row>
    <row r="11">
      <c r="A11" t="inlineStr">
        <is>
          <t>Стоимость привлечения (CAC)</t>
        </is>
      </c>
      <c r="B11" s="12">
        <f>('Допущения'!$D$26+'Допущения'!$D$27)*B4+2*'Допущения'!$D$25+'Допущения'!$E$58/MAX(CHOOSE('Допущения'!$D$4,'Допущения'!$E$34,'Допущения'!$E$35,'Допущения'!$E$36),1)</f>
        <v/>
      </c>
    </row>
    <row r="12">
      <c r="A12" t="inlineStr">
        <is>
          <t>Ценность клиента за 5 лет (LTV)</t>
        </is>
      </c>
      <c r="B12" s="12">
        <f>B7+B9*((1-CHOOSE('Допущения'!$D$4,'Допущения'!$D$30,'Допущения'!$D$31,'Допущения'!$D$32))+(1-CHOOSE('Допущения'!$D$4,'Допущения'!$D$30,'Допущения'!$D$31,'Допущения'!$D$32))^2+(1-CHOOSE('Допущения'!$D$4,'Допущения'!$D$30,'Допущения'!$D$31,'Допущения'!$D$32))^3+(1-CHOOSE('Допущения'!$D$4,'Допущения'!$D$30,'Допущения'!$D$31,'Допущения'!$D$32))^4)</f>
        <v/>
      </c>
    </row>
    <row r="13">
      <c r="A13" t="inlineStr">
        <is>
          <t>LTV / CAC</t>
        </is>
      </c>
      <c r="B13" s="10">
        <f>B12/B11</f>
        <v/>
      </c>
    </row>
    <row r="14">
      <c r="A14" t="inlineStr">
        <is>
          <t>Окупаемость привлечения, мес.</t>
        </is>
      </c>
      <c r="B14" s="10">
        <f>B11/(B9/12)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70" customWidth="1" min="4" max="4"/>
  </cols>
  <sheetData>
    <row r="1">
      <c r="A1" s="1" t="inlineStr">
        <is>
          <t>Эффект для заказчика — ввод в оранжевых ячейках; на пилоте — замер вкладки «Эффект»</t>
        </is>
      </c>
    </row>
    <row r="3">
      <c r="B3" s="15" t="inlineStr">
        <is>
          <t>Отдел техпродаж и сервиса — как в пилоте</t>
        </is>
      </c>
      <c r="C3" s="15" t="inlineStr">
        <is>
          <t>Предприятие: 80 сотрудников работают с документами — пример паспорта</t>
        </is>
      </c>
    </row>
    <row r="4">
      <c r="A4" t="inlineStr">
        <is>
          <t>Сотрудников</t>
        </is>
      </c>
      <c r="B4" s="16" t="n">
        <v>8</v>
      </c>
      <c r="C4" s="16" t="n">
        <v>80</v>
      </c>
      <c r="D4" t="inlineStr"/>
    </row>
    <row r="5">
      <c r="A5" t="inlineStr">
        <is>
          <t>Ответов в день на сотрудника</t>
        </is>
      </c>
      <c r="B5" s="16" t="n">
        <v>5</v>
      </c>
      <c r="C5" s="16" t="n">
        <v>0</v>
      </c>
      <c r="D5" t="inlineStr"/>
    </row>
    <row r="6">
      <c r="A6" t="inlineStr">
        <is>
          <t>Минут на ответ вручную</t>
        </is>
      </c>
      <c r="B6" s="16" t="n">
        <v>15</v>
      </c>
      <c r="C6" s="16" t="n">
        <v>0</v>
      </c>
      <c r="D6" t="inlineStr">
        <is>
          <t>оценка 15 мин — заменить хронометражем у партнёра (протокол docs/pilot/zamer_i_stoimost.md)</t>
        </is>
      </c>
    </row>
    <row r="7">
      <c r="A7" t="inlineStr">
        <is>
          <t>Экономия времени на ответе</t>
        </is>
      </c>
      <c r="B7" s="17" t="n">
        <v>0.5</v>
      </c>
      <c r="C7" s="17" t="n">
        <v>0</v>
      </c>
      <c r="D7" t="inlineStr">
        <is>
          <t>цель из карточки партнёра — минус 50 %; на пилоте замеряет вкладка «Эффект»</t>
        </is>
      </c>
    </row>
    <row r="8">
      <c r="A8" t="inlineStr">
        <is>
          <t>ТКП в месяц</t>
        </is>
      </c>
      <c r="B8" s="16" t="n">
        <v>60</v>
      </c>
      <c r="C8" s="16" t="n">
        <v>60</v>
      </c>
      <c r="D8" t="inlineStr"/>
    </row>
    <row r="9">
      <c r="A9" t="inlineStr">
        <is>
          <t>Минут на ТКП вручную</t>
        </is>
      </c>
      <c r="B9" s="16" t="n">
        <v>60</v>
      </c>
      <c r="C9" s="16" t="n">
        <v>60</v>
      </c>
      <c r="D9" t="inlineStr">
        <is>
          <t>оценка 60 мин на ТКП — заменить замером у партнёра</t>
        </is>
      </c>
    </row>
    <row r="10">
      <c r="A10" t="inlineStr">
        <is>
          <t>Экономия времени на ТКП</t>
        </is>
      </c>
      <c r="B10" s="17" t="n">
        <v>0.5</v>
      </c>
      <c r="C10" s="17" t="n">
        <v>0.5</v>
      </c>
      <c r="D10" t="inlineStr"/>
    </row>
    <row r="11">
      <c r="A11" t="inlineStr">
        <is>
          <t>Минут поиска в день на сотрудника</t>
        </is>
      </c>
      <c r="B11" s="16" t="n">
        <v>0</v>
      </c>
      <c r="C11" s="16" t="n">
        <v>40</v>
      </c>
      <c r="D11" t="inlineStr"/>
    </row>
    <row r="12">
      <c r="A12" t="inlineStr">
        <is>
          <t>Экономия времени поиска</t>
        </is>
      </c>
      <c r="B12" s="17" t="n">
        <v>0</v>
      </c>
      <c r="C12" s="17" t="n">
        <v>0.3</v>
      </c>
      <c r="D12" t="inlineStr"/>
    </row>
    <row r="13">
      <c r="A13" t="inlineStr">
        <is>
          <t>Зарплата, ₽ в месяц</t>
        </is>
      </c>
      <c r="B13" s="16" t="n">
        <v>80000</v>
      </c>
      <c r="C13" s="16" t="n">
        <v>80000</v>
      </c>
      <c r="D13" t="inlineStr">
        <is>
          <t>Рязанская область: 80 тыс. ₽ в месяц (Росстат, март 2026) — ниже, чем у инженеров (81–113 тыс. ₽)</t>
        </is>
      </c>
    </row>
    <row r="14">
      <c r="A14" t="inlineStr">
        <is>
          <t>Подписка, ₽ в год</t>
        </is>
      </c>
      <c r="B14" s="16" t="n">
        <v>300000</v>
      </c>
      <c r="C14" s="16" t="n">
        <v>600000</v>
      </c>
      <c r="D14" t="inlineStr"/>
    </row>
    <row r="15">
      <c r="A15" t="inlineStr">
        <is>
          <t>Модули, ₽ в год</t>
        </is>
      </c>
      <c r="B15" s="16" t="n">
        <v>120000</v>
      </c>
      <c r="C15" s="16" t="n">
        <v>220000</v>
      </c>
      <c r="D15" t="inlineStr"/>
    </row>
    <row r="16">
      <c r="A16" t="inlineStr">
        <is>
          <t>Внедрение, ₽</t>
        </is>
      </c>
      <c r="B16" s="16" t="n">
        <v>300000</v>
      </c>
      <c r="C16" s="16" t="n">
        <v>450000</v>
      </c>
      <c r="D16" t="inlineStr"/>
    </row>
    <row r="17">
      <c r="A17" t="inlineStr">
        <is>
          <t>Оборудование, ₽</t>
        </is>
      </c>
      <c r="B17" s="16" t="n">
        <v>200000</v>
      </c>
      <c r="C17" s="16" t="n">
        <v>200000</v>
      </c>
      <c r="D17" t="inlineStr"/>
    </row>
    <row r="18">
      <c r="A18" t="inlineStr">
        <is>
          <t>Администратор базы знаний, ч в месяц</t>
        </is>
      </c>
      <c r="B18" s="16" t="n">
        <v>3</v>
      </c>
      <c r="C18" s="16" t="n">
        <v>6</v>
      </c>
      <c r="D18" t="inlineStr"/>
    </row>
    <row r="19">
      <c r="A19" t="inlineStr">
        <is>
          <t>Час сотрудника с взносами</t>
        </is>
      </c>
      <c r="B19" s="12">
        <f>B13*1.3/165</f>
        <v/>
      </c>
      <c r="C19" s="12">
        <f>C13*1.3/165</f>
        <v/>
      </c>
      <c r="D19" t="inlineStr"/>
    </row>
    <row r="20">
      <c r="A20" t="inlineStr">
        <is>
          <t>Высвобождается часов в год</t>
        </is>
      </c>
      <c r="B20" s="12">
        <f>(B4*B5*247*B6*B7+B8*12*B9*B10+B4*B11*B12*247)/60</f>
        <v/>
      </c>
      <c r="C20" s="12">
        <f>(C4*C5*247*C6*C7+C8*12*C9*C10+C4*C11*C12*247)/60</f>
        <v/>
      </c>
      <c r="D20" t="inlineStr"/>
    </row>
    <row r="21">
      <c r="A21" t="inlineStr">
        <is>
          <t>Эффект, ₽ в год</t>
        </is>
      </c>
      <c r="B21" s="12">
        <f>B20*B19</f>
        <v/>
      </c>
      <c r="C21" s="12">
        <f>C20*C19</f>
        <v/>
      </c>
      <c r="D21" t="inlineStr"/>
    </row>
    <row r="22">
      <c r="A22" t="inlineStr">
        <is>
          <t>Затраты первого года</t>
        </is>
      </c>
      <c r="B22" s="12">
        <f>B23+B16+B17</f>
        <v/>
      </c>
      <c r="C22" s="12">
        <f>C23+C16+C17</f>
        <v/>
      </c>
      <c r="D22" t="inlineStr"/>
    </row>
    <row r="23">
      <c r="A23" t="inlineStr">
        <is>
          <t>Затраты со второго года</t>
        </is>
      </c>
      <c r="B23" s="12">
        <f>B14+B15+B18*12*B19+450*12</f>
        <v/>
      </c>
      <c r="C23" s="12">
        <f>C14+C15+C18*12*C19+450*12</f>
        <v/>
      </c>
      <c r="D23" t="inlineStr"/>
    </row>
    <row r="24">
      <c r="A24" t="inlineStr">
        <is>
          <t>Окупаемость, мес.</t>
        </is>
      </c>
      <c r="B24" s="10">
        <f>B22/(B21/12)</f>
        <v/>
      </c>
      <c r="C24" s="10">
        <f>C22/(C21/12)</f>
        <v/>
      </c>
      <c r="D24" t="inlineStr"/>
    </row>
    <row r="25">
      <c r="A25" t="inlineStr">
        <is>
          <t>Возврат за 3 года (ROI)</t>
        </is>
      </c>
      <c r="B25" s="11">
        <f>(3*B21-B22-2*B23)/(B22+2*B23)</f>
        <v/>
      </c>
      <c r="C25" s="11">
        <f>(3*C21-C22-2*C23)/(C22+2*C23)</f>
        <v/>
      </c>
      <c r="D25" t="inlineStr"/>
    </row>
    <row r="26">
      <c r="A26" t="inlineStr">
        <is>
          <t>Цена — доля от эффекта</t>
        </is>
      </c>
      <c r="B26" s="11">
        <f>(B14+B15)/B21</f>
        <v/>
      </c>
      <c r="C26" s="11">
        <f>(C14+C15)/C21</f>
        <v/>
      </c>
      <c r="D26" t="inlineStr"/>
    </row>
    <row r="27">
      <c r="A27" t="inlineStr">
        <is>
          <t>Запросов в год</t>
        </is>
      </c>
      <c r="B27" s="12">
        <f>B4*B5*247+B8*12</f>
        <v/>
      </c>
      <c r="C27" s="12">
        <f>C4*C5*247+C8*12</f>
        <v/>
      </c>
      <c r="D27" t="inlineStr"/>
    </row>
    <row r="28">
      <c r="A28" t="inlineStr">
        <is>
          <t>Полная стоимость запроса</t>
        </is>
      </c>
      <c r="B28" s="12">
        <f>IF(B27&gt;0,B23/B27,0)</f>
        <v/>
      </c>
      <c r="C28" s="12">
        <f>IF(C27&gt;0,C23/C27,0)</f>
        <v/>
      </c>
      <c r="D28" t="inlineStr"/>
    </row>
    <row r="29">
      <c r="A29" t="inlineStr">
        <is>
          <t>Экономия на запросе</t>
        </is>
      </c>
      <c r="B29" s="12">
        <f>IF(B27&gt;0,(B6*B7*B4*B5*247+B9*B10*B8*12)/B27/60*B19,0)</f>
        <v/>
      </c>
      <c r="C29" s="12">
        <f>IF(C27&gt;0,(C6*C7*C4*C5*247+C9*C10*C8*12)/C27/60*C19,0)</f>
        <v/>
      </c>
      <c r="D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Деньги на конец 2029 г. (накопленно), базовый сценарий — рассчитано скриптом</t>
        </is>
      </c>
    </row>
    <row r="3">
      <c r="A3" s="4" t="inlineStr">
        <is>
          <t>Допущение</t>
        </is>
      </c>
      <c r="B3" s="4" t="inlineStr">
        <is>
          <t>Хуже</t>
        </is>
      </c>
      <c r="C3" s="4" t="inlineStr">
        <is>
          <t>Базовый</t>
        </is>
      </c>
      <c r="D3" s="4" t="inlineStr">
        <is>
          <t>Лучше</t>
        </is>
      </c>
    </row>
    <row r="4">
      <c r="A4" t="inlineStr">
        <is>
          <t>Новых клиентов ±30 %</t>
        </is>
      </c>
      <c r="B4" s="12" t="n">
        <v>-3183666.026499998</v>
      </c>
      <c r="C4" s="12" t="n">
        <v>1471664.702000001</v>
      </c>
      <c r="D4" s="12" t="n">
        <v>6126995.430499999</v>
      </c>
    </row>
    <row r="5">
      <c r="A5" t="inlineStr">
        <is>
          <t>Подписка и модули ±20 %</t>
        </is>
      </c>
      <c r="B5" s="12" t="n">
        <v>-97945.03839999804</v>
      </c>
      <c r="C5" s="12" t="n">
        <v>1471664.702000001</v>
      </c>
      <c r="D5" s="12" t="n">
        <v>3041274.442400001</v>
      </c>
    </row>
    <row r="6">
      <c r="A6" t="inlineStr">
        <is>
          <t>Цена внедрения ±30 %</t>
        </is>
      </c>
      <c r="B6" s="12" t="n">
        <v>-316239.2979999987</v>
      </c>
      <c r="C6" s="12" t="n">
        <v>1471664.702000001</v>
      </c>
      <c r="D6" s="12" t="n">
        <v>3259568.702000001</v>
      </c>
    </row>
    <row r="7">
      <c r="A7" t="inlineStr">
        <is>
          <t>Оплата труда ±20 %</t>
        </is>
      </c>
      <c r="B7" s="12" t="n">
        <v>-806835.2979999996</v>
      </c>
      <c r="C7" s="12" t="n">
        <v>1471664.702000001</v>
      </c>
      <c r="D7" s="12" t="n">
        <v>3750164.701999999</v>
      </c>
    </row>
    <row r="8">
      <c r="A8" t="inlineStr">
        <is>
          <t>Отток 5 % / 20 %</t>
        </is>
      </c>
      <c r="B8" s="12" t="n">
        <v>999342.4880000015</v>
      </c>
      <c r="C8" s="12" t="n">
        <v>1471664.702000001</v>
      </c>
      <c r="D8" s="12" t="n">
        <v>1714701.109250003</v>
      </c>
    </row>
    <row r="9">
      <c r="A9" t="inlineStr">
        <is>
          <t>Доля через интеграторов 25 % / 75 %</t>
        </is>
      </c>
      <c r="B9" s="12" t="n">
        <v>891187.7270000008</v>
      </c>
      <c r="C9" s="12" t="n">
        <v>1471664.702000001</v>
      </c>
      <c r="D9" s="12" t="n">
        <v>2052141.677000001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0" customWidth="1" min="1" max="1"/>
    <col width="16" customWidth="1" min="2" max="2"/>
  </cols>
  <sheetData>
    <row r="1">
      <c r="A1" s="1" t="inlineStr">
        <is>
          <t>Стоимость созданного продукта — затратный подход (нормативная трудоёмкость)</t>
        </is>
      </c>
    </row>
    <row r="3">
      <c r="A3" s="4" t="inlineStr">
        <is>
          <t>Работа</t>
        </is>
      </c>
      <c r="B3" s="4" t="inlineStr">
        <is>
          <t>чел.-дн.</t>
        </is>
      </c>
    </row>
    <row r="4">
      <c r="A4" t="inlineStr">
        <is>
          <t>Прототип TRL 4 (03–14.10.2026): ядро, поиск, ответы с проверками, учёт, справочник, ТКП, интерфейс, поставка</t>
        </is>
      </c>
      <c r="B4" t="n">
        <v>167</v>
      </c>
    </row>
    <row r="5">
      <c r="A5" t="inlineStr">
        <is>
          <t>Цены из прайса, ключ к моделям, 20 писем эталона и исправления разбора</t>
        </is>
      </c>
      <c r="B5" t="n">
        <v>8</v>
      </c>
    </row>
    <row r="6">
      <c r="A6" t="inlineStr">
        <is>
          <t>Выбор прибора менеджером, НДС, REST API /tkp</t>
        </is>
      </c>
      <c r="B6" t="n">
        <v>6</v>
      </c>
    </row>
    <row r="7">
      <c r="A7" t="inlineStr">
        <is>
          <t>Папка документов отдела и безопасная запись индекса двумя процессами</t>
        </is>
      </c>
      <c r="B7" t="n">
        <v>7</v>
      </c>
    </row>
    <row r="8">
      <c r="A8" t="inlineStr">
        <is>
          <t>Резервная копия и перенос в новую версию</t>
        </is>
      </c>
      <c r="B8" t="n">
        <v>4</v>
      </c>
    </row>
    <row r="9">
      <c r="A9" t="inlineStr">
        <is>
          <t>Реестр ТКП: номер, бланк компании, Excel, статусы, напоминания, редакции</t>
        </is>
      </c>
      <c r="B9" t="n">
        <v>10</v>
      </c>
    </row>
    <row r="10">
      <c r="A10" t="inlineStr">
        <is>
          <t>Почта отдела → входящие запросы</t>
        </is>
      </c>
      <c r="B10" t="n">
        <v>6</v>
      </c>
    </row>
    <row r="11">
      <c r="A11" t="inlineStr">
        <is>
          <t>Аналитика спроса, поиск по обозначениям, цены и остатки из 1С, отчёт о пилоте</t>
        </is>
      </c>
      <c r="B11" t="n">
        <v>14</v>
      </c>
    </row>
    <row r="12">
      <c r="A12" t="inlineStr">
        <is>
          <t>Проверка ветки, автотесты на Windows и Python 3.11, защита установки, пакет партнёру, регистрация ПО</t>
        </is>
      </c>
      <c r="B12" t="n">
        <v>8</v>
      </c>
    </row>
    <row r="13">
      <c r="A13" s="2" t="inlineStr">
        <is>
          <t>Итого</t>
        </is>
      </c>
      <c r="B13" s="2">
        <f>SUM(B4:B12)</f>
        <v/>
      </c>
    </row>
    <row r="15">
      <c r="A15" t="inlineStr">
        <is>
          <t>Стоимость по ставке: ставки команды (концепция: 60 тыс. ₽ в месяц)</t>
        </is>
      </c>
      <c r="B15" s="12">
        <f>B13*3786.41</f>
        <v/>
      </c>
    </row>
    <row r="16">
      <c r="A16" t="inlineStr">
        <is>
          <t>Стоимость по ставке: рыночная ставка разработчика в Рязани (≈ 120 тыс. ₽ в месяц)</t>
        </is>
      </c>
      <c r="B16" s="12">
        <f>B13*7572.82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2026-10-29T19:42:51Z</dcterms:created>
  <dcterms:modified xmlns:dcterms="http://purl.org/dc/terms/" xmlns:xsi="http://www.w3.org/2001/XMLSchema-instance" xsi:type="dcterms:W3CDTF">2026-10-29T19:42:51Z</dcterms:modified>
</cp:coreProperties>
</file>